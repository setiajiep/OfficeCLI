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 firstSheet="1" activeTab="8"/>
  </bookViews>
  <sheets>
    <sheet name="Dashboard Ringkasan" sheetId="1" r:id="rId1"/>
    <sheet name="Rekap Master" sheetId="2" r:id="rId2"/>
    <sheet name="Jan 2026" sheetId="3" r:id="rId3"/>
    <sheet name="Feb 2026" sheetId="4" r:id="rId4"/>
    <sheet name="Mar 2026" sheetId="5" r:id="rId5"/>
    <sheet name="Apr 2026" sheetId="6" r:id="rId6"/>
    <sheet name="Mei 2026" sheetId="7" r:id="rId7"/>
    <sheet name="Jun 2026" sheetId="8" r:id="rId8"/>
    <sheet name="Jul 2026" sheetId="9" r:id="rId9"/>
  </sheets>
  <definedNames>
    <definedName name="_xlnm._FilterDatabase" localSheetId="5" hidden="1">'Apr 2026'!$A$7:$K$30</definedName>
    <definedName name="_xlnm._FilterDatabase" localSheetId="3" hidden="1">'Feb 2026'!$A$7:$K$19</definedName>
    <definedName name="_xlnm._FilterDatabase" localSheetId="2" hidden="1">'Jan 2026'!$A$7:$K$25</definedName>
    <definedName name="_xlnm._FilterDatabase" localSheetId="8" hidden="1">'Jul 2026'!$A$7:$K$20</definedName>
    <definedName name="_xlnm._FilterDatabase" localSheetId="7" hidden="1">'Jun 2026'!$A$7:$K$39</definedName>
    <definedName name="_xlnm._FilterDatabase" localSheetId="4" hidden="1">'Mar 2026'!$A$7:$K$16</definedName>
    <definedName name="_xlnm._FilterDatabase" localSheetId="6" hidden="1">'Mei 2026'!$A$7:$K$29</definedName>
    <definedName name="_xlnm._FilterDatabase" localSheetId="1" hidden="1">'Rekap Master'!$A$4:$L$133</definedName>
  </definedNames>
  <calcPr calcId="125725"/>
</workbook>
</file>

<file path=xl/calcChain.xml><?xml version="1.0" encoding="utf-8"?>
<calcChain xmlns="http://schemas.openxmlformats.org/spreadsheetml/2006/main">
  <c r="J21" i="9"/>
  <c r="I21"/>
  <c r="E5"/>
  <c r="C5"/>
  <c r="J40" i="8"/>
  <c r="I40"/>
  <c r="E5"/>
  <c r="C5"/>
  <c r="J30" i="7"/>
  <c r="I30"/>
  <c r="E5"/>
  <c r="C5"/>
  <c r="J31" i="6"/>
  <c r="I31"/>
  <c r="E5"/>
  <c r="C5"/>
  <c r="J17" i="5"/>
  <c r="I17"/>
  <c r="E5"/>
  <c r="C5"/>
  <c r="J20" i="4"/>
  <c r="I20"/>
  <c r="E5"/>
  <c r="C5"/>
  <c r="J26" i="3"/>
  <c r="I26"/>
  <c r="E5"/>
  <c r="C5"/>
  <c r="K134" i="2"/>
  <c r="J134"/>
  <c r="E34" i="1"/>
  <c r="F34" s="1"/>
  <c r="D34"/>
  <c r="C34"/>
  <c r="E33"/>
  <c r="F33" s="1"/>
  <c r="D33"/>
  <c r="C33"/>
  <c r="E32"/>
  <c r="F32" s="1"/>
  <c r="D32"/>
  <c r="C32"/>
  <c r="E31"/>
  <c r="F31" s="1"/>
  <c r="D31"/>
  <c r="C31"/>
  <c r="E30"/>
  <c r="F30" s="1"/>
  <c r="D30"/>
  <c r="C30"/>
  <c r="E29"/>
  <c r="F29" s="1"/>
  <c r="D29"/>
  <c r="C29"/>
  <c r="E28"/>
  <c r="F28" s="1"/>
  <c r="D28"/>
  <c r="C28"/>
  <c r="E27"/>
  <c r="F27" s="1"/>
  <c r="D27"/>
  <c r="C27"/>
  <c r="E26"/>
  <c r="F26" s="1"/>
  <c r="D26"/>
  <c r="C26"/>
  <c r="E25"/>
  <c r="F25" s="1"/>
  <c r="D25"/>
  <c r="C25"/>
  <c r="E24"/>
  <c r="E35" s="1"/>
  <c r="D24"/>
  <c r="D35" s="1"/>
  <c r="C24"/>
  <c r="C35" s="1"/>
  <c r="H19"/>
  <c r="F19"/>
  <c r="E19"/>
  <c r="D19"/>
  <c r="F18"/>
  <c r="F17"/>
  <c r="F16"/>
  <c r="F15"/>
  <c r="F14"/>
  <c r="F13"/>
  <c r="F12"/>
  <c r="H5"/>
  <c r="G5"/>
  <c r="I5" s="1"/>
  <c r="F35" l="1"/>
  <c r="F24"/>
</calcChain>
</file>

<file path=xl/sharedStrings.xml><?xml version="1.0" encoding="utf-8"?>
<sst xmlns="http://schemas.openxmlformats.org/spreadsheetml/2006/main" count="2130" uniqueCount="393">
  <si>
    <t>REKAPITULASI TRANSAKSI REKENING KORAN BNI</t>
  </si>
  <si>
    <t>PT HIJAU SEJAHTERA BERSAMA | Rekening Giro No: 692291557 | Periode: 01 Jan 2026 - 31 Jul 2026</t>
  </si>
  <si>
    <t>Informasi Perusahaan &amp; Rekening</t>
  </si>
  <si>
    <t>SALDO AWAL (01 JAN 2026)</t>
  </si>
  <si>
    <t>TOTAL PEMASUKAN (KREDIT)</t>
  </si>
  <si>
    <t>TOTAL PENGELUARAN (DEBET)</t>
  </si>
  <si>
    <t>NET CASH FLOW</t>
  </si>
  <si>
    <t>SALDO AKHIR (31 JUL 2026)</t>
  </si>
  <si>
    <t>Nama Perusahaan</t>
  </si>
  <si>
    <t>PT HIJAU SEJAHTERA BERSAMA</t>
  </si>
  <si>
    <t>Nomor Rekening</t>
  </si>
  <si>
    <t>692291557</t>
  </si>
  <si>
    <t>Mata Uang / Tipe</t>
  </si>
  <si>
    <t>IDR / CURRENT (Giro BNI)</t>
  </si>
  <si>
    <t>Alamat Perusahaan</t>
  </si>
  <si>
    <t>DUSUN I PUJOSARI RT 001 RW 001</t>
  </si>
  <si>
    <t>Periode Transaksi</t>
  </si>
  <si>
    <t>01 Januari 2026 - 31 Juli 2026 (7 Bulan)</t>
  </si>
  <si>
    <t>Ringkasan Mutasi Per Bulan (Jan - Jul 2026)</t>
  </si>
  <si>
    <t>No</t>
  </si>
  <si>
    <t>Bulan</t>
  </si>
  <si>
    <t>Saldo Awal (Rp)</t>
  </si>
  <si>
    <t>Total Debet / Keluar (Rp)</t>
  </si>
  <si>
    <t>Total Kredit / Masuk (Rp)</t>
  </si>
  <si>
    <t>Net Flow (Rp)</t>
  </si>
  <si>
    <t>Saldo Akhir (Rp)</t>
  </si>
  <si>
    <t>Jumlah Transaksi</t>
  </si>
  <si>
    <t>Jan 2026</t>
  </si>
  <si>
    <t>Feb 2026</t>
  </si>
  <si>
    <t>Mar 2026</t>
  </si>
  <si>
    <t>Apr 2026</t>
  </si>
  <si>
    <t>Mei 2026</t>
  </si>
  <si>
    <t>Jun 2026</t>
  </si>
  <si>
    <t>Jul 2026</t>
  </si>
  <si>
    <t>TOTAL / SALDO</t>
  </si>
  <si>
    <t>Breakdown Transaksi Berdasarkan Kategori Pengeluaran &amp; Pemasukan</t>
  </si>
  <si>
    <t>Kategori Transaksi</t>
  </si>
  <si>
    <t>Total Debet / Pengeluaran (Rp)</t>
  </si>
  <si>
    <t>Total Kredit / Pemasukan (Rp)</t>
  </si>
  <si>
    <t>Net Impact (Rp)</t>
  </si>
  <si>
    <t>Transfer / Pemindahan</t>
  </si>
  <si>
    <t>Pajak (MPN G2)</t>
  </si>
  <si>
    <t>BPJS Kesehatan</t>
  </si>
  <si>
    <t>BPJS Ketenagakerjaan</t>
  </si>
  <si>
    <t>Listrik / PLN</t>
  </si>
  <si>
    <t>Transfer BI-FAST</t>
  </si>
  <si>
    <t>Setor Tunai</t>
  </si>
  <si>
    <t>Jasa Giro</t>
  </si>
  <si>
    <t>Biaya Admin / Bank</t>
  </si>
  <si>
    <t>Pajak PPh</t>
  </si>
  <si>
    <t>Lainnya</t>
  </si>
  <si>
    <t>TOTAL KATEGORI</t>
  </si>
  <si>
    <t>DAFTAR MASTER TRANSAKSI REKENING KORAN BNI (JANUARI - JULI 2026)</t>
  </si>
  <si>
    <t>PT HIJAU SEJAHTERA BERSAMA | Total Transaksi: 129 Records</t>
  </si>
  <si>
    <t>Posting Date</t>
  </si>
  <si>
    <t>Effective Date</t>
  </si>
  <si>
    <t>No. Jurnal</t>
  </si>
  <si>
    <t>Cabang / Branch</t>
  </si>
  <si>
    <t>Uraian / Deskripsi Transaksi</t>
  </si>
  <si>
    <t>Kategori</t>
  </si>
  <si>
    <t>DB/CR</t>
  </si>
  <si>
    <t>Debet / Keluar (Rp)</t>
  </si>
  <si>
    <t>Kredit / Masuk (Rp)</t>
  </si>
  <si>
    <t>09/01/2026 11.26.40</t>
  </si>
  <si>
    <t>905653</t>
  </si>
  <si>
    <t>INTERNET BANKING</t>
  </si>
  <si>
    <t>TRF/PAY/TOP-UP ECHANNEL | PEMINDAHAN DARI 1140010073537 | 0000000000000000 | WIJI INDRAYANI       Lainnya</t>
  </si>
  <si>
    <t>K</t>
  </si>
  <si>
    <t>09/01/2026 11.35.14</t>
  </si>
  <si>
    <t>211467</t>
  </si>
  <si>
    <t>DIVISI TRANSACTI ONAL BANKING SERVICES (TBS)</t>
  </si>
  <si>
    <t>TRANSFER KE | BILL PAYMENT (MPN G2 IDR  ) NO :041659442003798</t>
  </si>
  <si>
    <t>D</t>
  </si>
  <si>
    <t>201348</t>
  </si>
  <si>
    <t>TRANSFER KE | 8888890001020743 67DBD5B548FB84C4 | BILL PAYMENT (H2H BPJS KES) NO :67DBD5B548FB84C4</t>
  </si>
  <si>
    <t>09/01/2026 11.35.15</t>
  </si>
  <si>
    <t>212011</t>
  </si>
  <si>
    <t>INTERNAL</t>
  </si>
  <si>
    <t>TRF/PAY/TOP-UP ECHANNEL | PEMINDAHAN KE 13001017205539 | 6010047890623568 | BNI DIRECT</t>
  </si>
  <si>
    <t>09/01/2026 00.00.00</t>
  </si>
  <si>
    <t>INTERNAL DIVISI</t>
  </si>
  <si>
    <t>BY TRX ATM PRIMA</t>
  </si>
  <si>
    <t>09/01/2026 11.35.16</t>
  </si>
  <si>
    <t>201906</t>
  </si>
  <si>
    <t>TRANSACTI ONAL BANKING SERVICES (TBS)</t>
  </si>
  <si>
    <t>TRANSFER KE | BILL PAYMENT (H2H BPJS TK ) NO :418307362000</t>
  </si>
  <si>
    <t>14/01/2026 10.18.57</t>
  </si>
  <si>
    <t>936510</t>
  </si>
  <si>
    <t>TRF/PAY/TOP-UP ECHANNEL | PEMINDAHAN DARI 1140016063946 | 0000000000000000 | HIJAU SEJAHTERA BERS BI FAST Transfer</t>
  </si>
  <si>
    <t>14/01/2026 13.43.32</t>
  </si>
  <si>
    <t>342099</t>
  </si>
  <si>
    <t>TRANSFER KE | BILL PAYMENT (MPN G2 IDR  ) NO :030810890597019</t>
  </si>
  <si>
    <t>14/01/2026 13.43.31</t>
  </si>
  <si>
    <t>968792</t>
  </si>
  <si>
    <t>TRF/PAY/TOP-UP ECHANNEL | 6010043330000011 | BNI DIRECT | BILL PAYMENT (PLN PREPAID ) NO :45039450379</t>
  </si>
  <si>
    <t>TRF/PAY/TOP-UP ECHANNEL | 6010043330000011 | BNI DIRECT | BIAYA ADMIN (PLN PREPAID ) NO :45039450379  4505</t>
  </si>
  <si>
    <t>967925</t>
  </si>
  <si>
    <t>TRF/PAY/TOP-UP ECHANNEL | 6010043330000011 | BNI DIRECT | BILL PAYMENT (PLN PREPAID ) NO :45031588457</t>
  </si>
  <si>
    <t>TRF/PAY/TOP-UP ECHANNEL | 6010043330000011 | BNI DIRECT | BIAYA ADMIN (PLN PREPAID ) NO :45031588457  8878</t>
  </si>
  <si>
    <t>14/01/2026 13.43.40</t>
  </si>
  <si>
    <t>344923</t>
  </si>
  <si>
    <t>TRANSFER KE | BILL PAYMENT (MPN G2 IDR  ) NO :041616700541968</t>
  </si>
  <si>
    <t>967959</t>
  </si>
  <si>
    <t>TRF/PAY/TOP-UP ECHANNEL | 6010043330000011 | BNI DIRECT | BILL PAYMENT (PLN PREPAID ) NO :45095288549</t>
  </si>
  <si>
    <t>TRF/PAY/TOP-UP ECHANNEL | 6010043330000011 | BNI DIRECT | BIAYA ADMIN (PLN PREPAID ) NO :45095288549   057</t>
  </si>
  <si>
    <t>15/01/2026 15.00.26</t>
  </si>
  <si>
    <t>593116</t>
  </si>
  <si>
    <t>DIVISI TRANSACTI ONAL BANKING SERVICES</t>
  </si>
  <si>
    <t>TRANSFER KE | BILL PAYMENT (MPN G2 IDR  ) NO :041636325300715</t>
  </si>
  <si>
    <t>31/01/2026 08.00.00</t>
  </si>
  <si>
    <t>933309</t>
  </si>
  <si>
    <t>(TBS) INTERNAL BRANCH</t>
  </si>
  <si>
    <t>JASA GIRO/BUNGA</t>
  </si>
  <si>
    <t>INTERNAL BRANCH</t>
  </si>
  <si>
    <t>BIAYA ADM REK</t>
  </si>
  <si>
    <t>09/02/2026 17.40.46</t>
  </si>
  <si>
    <t>959786</t>
  </si>
  <si>
    <t>TRF/PAY/TOP-UP ECHANNEL | PEMINDAHAN DARI 13001002256309 | 5221844701800446 | OM360002000088887176</t>
  </si>
  <si>
    <t>10/02/2026 15.38.21</t>
  </si>
  <si>
    <t>046901</t>
  </si>
  <si>
    <t>TRANSFER KE | BILL PAYMENT (MPN G2 IDR  ) NO :041609162191703</t>
  </si>
  <si>
    <t>10/02/2026 15.43.28</t>
  </si>
  <si>
    <t>971623</t>
  </si>
  <si>
    <t>TRANSFER KE | PEMINDAHAN KE 845736142 Ibu WIJI  INDRAYANI | transfer  TRF TO:000000000845736142</t>
  </si>
  <si>
    <t>10/02/2026 16.34.28</t>
  </si>
  <si>
    <t>974164</t>
  </si>
  <si>
    <t>TRF/PAY/TOP-UP ECHANNEL | PEMINDAHAN DARI 1177317888 | 0232051177317888 | S1ACIB9505 9895</t>
  </si>
  <si>
    <t>10/02/2026 16.39.17</t>
  </si>
  <si>
    <t>962124</t>
  </si>
  <si>
    <t>10/02/2026 16.41.06</t>
  </si>
  <si>
    <t>432085</t>
  </si>
  <si>
    <t>10/02/2026 16.41.07</t>
  </si>
  <si>
    <t>432698</t>
  </si>
  <si>
    <t>TRANSFER KE | 8888890001020743 691CEE36EE37A8D5 | BILL PAYMENT (H2H BPJS KES) NO :691CEE36EE37A8D5</t>
  </si>
  <si>
    <t>15/02/2026 10.52.42</t>
  </si>
  <si>
    <t>917095</t>
  </si>
  <si>
    <t>(TBS) INTERNET BANKING</t>
  </si>
  <si>
    <t>TRF/PAY/TOP-UP ECHANNEL | PEMINDAHAN DARI 1140016063946 |</t>
  </si>
  <si>
    <t>15/02/2026 10.55.12</t>
  </si>
  <si>
    <t>507558</t>
  </si>
  <si>
    <t>0000000000000000 | HIJAU SEJAHTERA BERS BI FAST Transfer TRANSFER KE | BILL PAYMENT (MPN G2 IDR  ) NO :041718249508555</t>
  </si>
  <si>
    <t>25/02/2026 14.12.25</t>
  </si>
  <si>
    <t>991826</t>
  </si>
  <si>
    <t>TRF/PAY/TOP-UP ECHANNEL | PEMINDAHAN DARI 1177317888 | 0000000000000000 | HIJAU SEJAHTERA BERSAMA -</t>
  </si>
  <si>
    <t>28/02/2026 00.09.41</t>
  </si>
  <si>
    <t>933160</t>
  </si>
  <si>
    <t>28/02/2026 08.00.00</t>
  </si>
  <si>
    <t>11/03/2026 17.13.20</t>
  </si>
  <si>
    <t>933609</t>
  </si>
  <si>
    <t>12/03/2026 10.03.26</t>
  </si>
  <si>
    <t>646956</t>
  </si>
  <si>
    <t>TRANSFER KE | BILL PAYMENT (MPN G2 IDR  ) NO :041888682441745</t>
  </si>
  <si>
    <t>12/03/2026 11.51.31</t>
  </si>
  <si>
    <t>799108</t>
  </si>
  <si>
    <t>TRANSFER KE | 8888890001020743 9E3BD4790FA1E6C9 | BILL PAYMENT (H2H BPJS KES) NO :9E3BD4790FA1E6C9</t>
  </si>
  <si>
    <t>12/03/2026 11.51.32</t>
  </si>
  <si>
    <t>799682</t>
  </si>
  <si>
    <t>26/03/2026 20.05.46</t>
  </si>
  <si>
    <t>988637</t>
  </si>
  <si>
    <t>26/03/2026 20.10.57</t>
  </si>
  <si>
    <t>914835</t>
  </si>
  <si>
    <t>TRF/PAY/TOP-UP ECHANNEL | PEMINDAHAN DARI 1140016063946 | 0000000000000000 | HIJAU SEJAHTERA BERS BI FAST</t>
  </si>
  <si>
    <t>31/03/2026 00.59.25</t>
  </si>
  <si>
    <t>933015</t>
  </si>
  <si>
    <t>Transfer JASA GIRO/BUNGA</t>
  </si>
  <si>
    <t>PPH</t>
  </si>
  <si>
    <t>31/03/2026 08.00.00</t>
  </si>
  <si>
    <t>06/04/2026 13.24.11</t>
  </si>
  <si>
    <t>952533</t>
  </si>
  <si>
    <t>TRF/PAY/TOP-UP ECHANNEL | PEMINDAHAN KE 1140010073537 | 0000000000000000 | 1140010073537</t>
  </si>
  <si>
    <t>06/04/2026 00.00.00</t>
  </si>
  <si>
    <t>BY TRX BIFAST</t>
  </si>
  <si>
    <t>06/04/2026 14.35.48</t>
  </si>
  <si>
    <t>984793</t>
  </si>
  <si>
    <t>TRF/PAY/TOP-UP ECHANNEL | PEMINDAHAN DARI 13001002256309 | 5221844701800446 | OM360002000088886405</t>
  </si>
  <si>
    <t>08/04/2026 09.36.20</t>
  </si>
  <si>
    <t>967640</t>
  </si>
  <si>
    <t>09/04/2026 14.38.30</t>
  </si>
  <si>
    <t>589484</t>
  </si>
  <si>
    <t>TRANSFER KE | BILL PAYMENT (MPN G2 IDR  ) NO :041953485875141</t>
  </si>
  <si>
    <t>11/04/2026 17.12.06</t>
  </si>
  <si>
    <t>961968</t>
  </si>
  <si>
    <t>TRF/PAY/TOP-UP ECHANNEL | PEMINDAHAN KE 1140006499076 | 0000000000000000 | 1140006499076</t>
  </si>
  <si>
    <t>11/04/2026 00.00.00</t>
  </si>
  <si>
    <t>13/04/2026 10.26.51</t>
  </si>
  <si>
    <t>251926</t>
  </si>
  <si>
    <t>(TBS) METRO</t>
  </si>
  <si>
    <t>SETOR TUNAI | HIJAU</t>
  </si>
  <si>
    <t>23/04/2026 13.17.56</t>
  </si>
  <si>
    <t>211085</t>
  </si>
  <si>
    <t>SEJAHTERA BERSAMA TRANSFER KE | BILL PAYMENT (MPN G2 IDR  ) NO :041913293939893</t>
  </si>
  <si>
    <t>23/04/2026 13.17.57</t>
  </si>
  <si>
    <t>203874</t>
  </si>
  <si>
    <t>TRANSFER KE | BILL PAYMENT (MPN G2 IDR  ) NO :041971665471622</t>
  </si>
  <si>
    <t>23/04/2026 13.17.59</t>
  </si>
  <si>
    <t>204399</t>
  </si>
  <si>
    <t>TRANSFER KE | BILL PAYMENT (MPN G2 IDR  ) NO :041901068275288</t>
  </si>
  <si>
    <t>23/04/2026 13.33.58</t>
  </si>
  <si>
    <t>988744</t>
  </si>
  <si>
    <t>TRF/PAY/TOP-UP ECHANNEL | PEMINDAHAN KE 1140010073537 | 0000000000000000 | 1140010073537    TRANSFER DANA</t>
  </si>
  <si>
    <t>23/04/2026 00.00.00</t>
  </si>
  <si>
    <t>23/04/2026 14.19.21</t>
  </si>
  <si>
    <t>649677</t>
  </si>
  <si>
    <t>(TBS) DIVISI OPERASIO NAL DIVISI</t>
  </si>
  <si>
    <t>KREDIT LAIN-LAIN | 002 TIGA OREGON PUT PEMB SOLAR INV 062</t>
  </si>
  <si>
    <t>23/04/2026 16.09.38</t>
  </si>
  <si>
    <t>961866</t>
  </si>
  <si>
    <t>TRANSACTI ONAL BANKING SERVICES</t>
  </si>
  <si>
    <t>TRF/PAY/TOP-UP ECHANNEL | PEMINDAHAN KE 1140010073537 | 0000000000000000 |</t>
  </si>
  <si>
    <t>(TBS) DIVISI TRANSACTI</t>
  </si>
  <si>
    <t>1140010073537 BY TRX BIFAST</t>
  </si>
  <si>
    <t>25/04/2026 14.49.30</t>
  </si>
  <si>
    <t>958379</t>
  </si>
  <si>
    <t>ONAL BANKING SERVICES (TBS) DIVISI TRANSACTI ONAL BANKING SERVICES (TBS)</t>
  </si>
  <si>
    <t>25/04/2026 00.00.00</t>
  </si>
  <si>
    <t>30/04/2026 09.30.16</t>
  </si>
  <si>
    <t>380919</t>
  </si>
  <si>
    <t>(TBS) METRO DIVISI</t>
  </si>
  <si>
    <t>TARIK CHQ             CE098177 | WIJI INDRAYANI/081369049547</t>
  </si>
  <si>
    <t>30/04/2026 11.51.54</t>
  </si>
  <si>
    <t>598485</t>
  </si>
  <si>
    <t>TRANSFER KE | BILL PAYMENT (MPN G2 IDR  ) NO :041925716799191</t>
  </si>
  <si>
    <t>30/04/2026 08.00.00</t>
  </si>
  <si>
    <t>932873</t>
  </si>
  <si>
    <t>08/05/2026 10.57.15</t>
  </si>
  <si>
    <t>927652</t>
  </si>
  <si>
    <t>08/05/2026 11.19.51</t>
  </si>
  <si>
    <t>945955</t>
  </si>
  <si>
    <t>08/05/2026 13.46.03</t>
  </si>
  <si>
    <t>022147</t>
  </si>
  <si>
    <t>TRANSFER KE | BILL PAYMENT (MPN G2 IDR  ) NO :042068859784941</t>
  </si>
  <si>
    <t>08/05/2026 13.46.04</t>
  </si>
  <si>
    <t>022383</t>
  </si>
  <si>
    <t>TRANSFER KE | 8888890001020743 5C5A29D6A88DB869 | BILL PAYMENT (H2H BPJS KES) NO :5C5A29D6A88DB869</t>
  </si>
  <si>
    <t>09/05/2026 10.28.25</t>
  </si>
  <si>
    <t>556703</t>
  </si>
  <si>
    <t>TRANSFER KE | BILL PAYMENT (MPN G2 IDR  ) NO :042025827670792</t>
  </si>
  <si>
    <t>569504</t>
  </si>
  <si>
    <t>TRANSFER KE | BILL PAYMENT (H2H BPJS TK ) NO :260500321658</t>
  </si>
  <si>
    <t>09/05/2026 10.28.26</t>
  </si>
  <si>
    <t>569738</t>
  </si>
  <si>
    <t>TRANSFER KE | BILL PAYMENT (MPN G2 IDR  ) NO :042093552095593</t>
  </si>
  <si>
    <t>18/05/2026 15.24.40</t>
  </si>
  <si>
    <t>606950</t>
  </si>
  <si>
    <t>DIVISI OPERASIO NAL DIVISI</t>
  </si>
  <si>
    <t>KREDIT LAIN-LAIN | 013 PT AKR CORPORIN INV 050-054 OAT</t>
  </si>
  <si>
    <t>19/05/2026 14.12.20</t>
  </si>
  <si>
    <t>991389</t>
  </si>
  <si>
    <t>19/05/2026 00.00.00</t>
  </si>
  <si>
    <t>21/05/2026 10.23.48</t>
  </si>
  <si>
    <t>627559</t>
  </si>
  <si>
    <t>TRANSFER KE | BILL PAYMENT (MPN G2 IDR  ) NO :042015443408172</t>
  </si>
  <si>
    <t>21/05/2026 10.23.49</t>
  </si>
  <si>
    <t>627862</t>
  </si>
  <si>
    <t>TRANSFER KE | BILL PAYMENT (MPN G2 IDR  ) NO :042016540838246</t>
  </si>
  <si>
    <t>29/05/2026 13.03.56</t>
  </si>
  <si>
    <t>984457</t>
  </si>
  <si>
    <t>29/05/2026 13.09.24</t>
  </si>
  <si>
    <t>225816</t>
  </si>
  <si>
    <t>TRANSFER KE | BILL PAYMENT (MPN G2 IDR  ) NO :042061815871423</t>
  </si>
  <si>
    <t>29/05/2026 13.09.25</t>
  </si>
  <si>
    <t>226064</t>
  </si>
  <si>
    <t>(TBS) DIVISI TRANSACTI ONAL</t>
  </si>
  <si>
    <t>TRANSFER KE | BILL PAYMENT (MPN G2 IDR  ) NO :042059370802403</t>
  </si>
  <si>
    <t>29/05/2026 16.53.51</t>
  </si>
  <si>
    <t>998114</t>
  </si>
  <si>
    <t>BANKING SERVICES (TBS) DIVISI TRANSACTI ONAL BANKING SERVICES (TBS)</t>
  </si>
  <si>
    <t>29/05/2026 00.00.00</t>
  </si>
  <si>
    <t>31/05/2026 14.10.54</t>
  </si>
  <si>
    <t>918149</t>
  </si>
  <si>
    <t>31/05/2026 00.00.00</t>
  </si>
  <si>
    <t>31/05/2026 08.00.00</t>
  </si>
  <si>
    <t>932713</t>
  </si>
  <si>
    <t>03/06/2026 18.45.36</t>
  </si>
  <si>
    <t>917113</t>
  </si>
  <si>
    <t>TRANSFER DARI | PEMINDAHAN DARI 845736142 Ibu WIJI INDRAYANI</t>
  </si>
  <si>
    <t>03/06/2026 18.47.12</t>
  </si>
  <si>
    <t>927769</t>
  </si>
  <si>
    <t>INTERNET BANKING DIVISI</t>
  </si>
  <si>
    <t>03/06/2026 19.02.42</t>
  </si>
  <si>
    <t>932606</t>
  </si>
  <si>
    <t>03/06/2026 00.00.00</t>
  </si>
  <si>
    <t>03/06/2026 19.02.44</t>
  </si>
  <si>
    <t>932814</t>
  </si>
  <si>
    <t>TRF/PAY/TOP-UP ECHANNEL | PEMINDAHAN KE   1170419282 | 0000000000000000 | 1170419282</t>
  </si>
  <si>
    <t>10/06/2026 14.50.05</t>
  </si>
  <si>
    <t>908771</t>
  </si>
  <si>
    <t>10/06/2026 15.17.38</t>
  </si>
  <si>
    <t>462780</t>
  </si>
  <si>
    <t>TRANSFER KE | BILL PAYMENT (MPN G2 IDR  ) NO :042176536412586</t>
  </si>
  <si>
    <t>10/06/2026 15.17.39</t>
  </si>
  <si>
    <t>471132</t>
  </si>
  <si>
    <t>(TBS) DIVISI</t>
  </si>
  <si>
    <t>TRANSFER KE | BILL PAYMENT</t>
  </si>
  <si>
    <t>15/06/2026 11.45.48</t>
  </si>
  <si>
    <t>139598</t>
  </si>
  <si>
    <t>TRANSACTI ONAL BANKING SERVICES (TBS) DIVISI TRANSACTI ONAL BANKING SERVICES (TBS)</t>
  </si>
  <si>
    <t>(MPN G2 IDR  ) NO :042189224513474 TRANSFER KE | 8888890001020743 3387CB69BE464EC3 | BILL PAYMENT (H2H BPJS KES) NO :3387CB69BE464EC3</t>
  </si>
  <si>
    <t>15/06/2026 12.18.03</t>
  </si>
  <si>
    <t>920814</t>
  </si>
  <si>
    <t>15/06/2026 14.02.13</t>
  </si>
  <si>
    <t>680179</t>
  </si>
  <si>
    <t>TRANSFER KE | BILL PAYMENT (H2H BPJS TK ) NO :260600457796</t>
  </si>
  <si>
    <t>18/06/2026 16.31.12</t>
  </si>
  <si>
    <t>997961</t>
  </si>
  <si>
    <t>18/06/2026 16.33.42</t>
  </si>
  <si>
    <t>904582</t>
  </si>
  <si>
    <t>TRF/PAY/TOP-UP ECHANNEL | PEMINDAHAN DARI 1140010073537 | 0000000000000000 | WIJI INDRAYANI       Pajak</t>
  </si>
  <si>
    <t>18/06/2026 16.38.18</t>
  </si>
  <si>
    <t>353265</t>
  </si>
  <si>
    <t>TRANSFER KE | BILL PAYMENT (MPN G2 IDR  ) NO :042170519504170</t>
  </si>
  <si>
    <t>23/06/2026 08.48.47</t>
  </si>
  <si>
    <t>969519</t>
  </si>
  <si>
    <t>TRF/PAY/TOP-UP ECHANNEL | PEMINDAHAN KE 1140010073537 |</t>
  </si>
  <si>
    <t>23/06/2026 00.00.00</t>
  </si>
  <si>
    <t>0000000000000000 | 1140010073537 BY TRX BIFAST</t>
  </si>
  <si>
    <t>23/06/2026 08.50.19</t>
  </si>
  <si>
    <t>948082</t>
  </si>
  <si>
    <t>23/06/2026 08.52.58</t>
  </si>
  <si>
    <t>954928</t>
  </si>
  <si>
    <t>23/06/2026 08.54.31</t>
  </si>
  <si>
    <t>985742</t>
  </si>
  <si>
    <t>24/06/2026 14.38.51</t>
  </si>
  <si>
    <t>959018</t>
  </si>
  <si>
    <t>BANKING SERVICES (TBS) INTERNET BANKING</t>
  </si>
  <si>
    <t>24/06/2026 14.38.55</t>
  </si>
  <si>
    <t>959281</t>
  </si>
  <si>
    <t>29/06/2026 09.32.08</t>
  </si>
  <si>
    <t>952355</t>
  </si>
  <si>
    <t>29/06/2026 09.32.48</t>
  </si>
  <si>
    <t>993310</t>
  </si>
  <si>
    <t>29/06/2026 09.33.45</t>
  </si>
  <si>
    <t>960321</t>
  </si>
  <si>
    <t>29/06/2026 11.37.43</t>
  </si>
  <si>
    <t>264830</t>
  </si>
  <si>
    <t>TRANSFER KE | BILL PAYMENT (MPN G2 IDR  ) NO :031311191577088</t>
  </si>
  <si>
    <t>30/06/2026 00.54.05</t>
  </si>
  <si>
    <t>932653</t>
  </si>
  <si>
    <t>30/06/2026 08.00.00</t>
  </si>
  <si>
    <t>BRANCH INTERNAL BRANCH</t>
  </si>
  <si>
    <t>09/07/2026 16.06.35</t>
  </si>
  <si>
    <t>956955</t>
  </si>
  <si>
    <t>TRF/PAY/TOP-UP ECHANNEL | PEMINDAHAN DARI 13001002256309 | 5221844701800446 | OM360002000088885856</t>
  </si>
  <si>
    <t>09/07/2026 16.17.29</t>
  </si>
  <si>
    <t>905664</t>
  </si>
  <si>
    <t>13/07/2026 11.21.01</t>
  </si>
  <si>
    <t>755169</t>
  </si>
  <si>
    <t>TRANSFER KE | BILL PAYMENT (MPN G2 IDR  ) NO :042258879585184</t>
  </si>
  <si>
    <t>13/07/2026 11.29.12</t>
  </si>
  <si>
    <t>296330</t>
  </si>
  <si>
    <t>TRANSFER KE | BILL PAYMENT (MPN G2 IDR  ) NO :042261619122698</t>
  </si>
  <si>
    <t>13/07/2026 11.37.26</t>
  </si>
  <si>
    <t>660332</t>
  </si>
  <si>
    <t>TRANSFER KE | BILL PAYMENT (MPN G2 IDR  ) NO :042225144614925</t>
  </si>
  <si>
    <t>13/07/2026 11.51.01</t>
  </si>
  <si>
    <t>428587</t>
  </si>
  <si>
    <t>TRANSFER KE | BILL PAYMENT (H2H BPJS TK ) NO :726073208233</t>
  </si>
  <si>
    <t>14/07/2026 08.59.17</t>
  </si>
  <si>
    <t>928682</t>
  </si>
  <si>
    <t>14/07/2026 09.03.03</t>
  </si>
  <si>
    <t>319627</t>
  </si>
  <si>
    <t>DIVISI</t>
  </si>
  <si>
    <t>Transfer TRANSFER KE | BILL PAYMENT</t>
  </si>
  <si>
    <t>15/07/2026 16.21.46</t>
  </si>
  <si>
    <t>570991</t>
  </si>
  <si>
    <t>TRANSACTI ONAL BANKING SERVICES (TBS) DIVISI TRANSACTI ONAL BANKING SERVICES</t>
  </si>
  <si>
    <t>(MPN G2 IDR  ) NO :042290219039655 TRANSFER KE | BILL PAYMENT (MPN G2 IDR  ) NO :042262385688706</t>
  </si>
  <si>
    <t>30/07/2026 16.21.02</t>
  </si>
  <si>
    <t>020240</t>
  </si>
  <si>
    <t>(TBS) DIVISI OPERASIO NAL</t>
  </si>
  <si>
    <t>KREDIT LAIN-LAIN | 002 TIGA OREGON PUT PEMB SOLAR PO 07/00006</t>
  </si>
  <si>
    <t>31/07/2026 08.00.00</t>
  </si>
  <si>
    <t>932640</t>
  </si>
  <si>
    <t>31/07/2026 01.06.57</t>
  </si>
  <si>
    <t>TOTAL</t>
  </si>
  <si>
    <t>REKAP TRANSAKSI REKENING KORAN BNI - PERIODE JAN 2026</t>
  </si>
  <si>
    <t>PT HIJAU SEJAHTERA BERSAMA | Periode: 01-Jan-26 - 31-Jan-26 | Source: 2026-01_RK_BNI.pdf</t>
  </si>
  <si>
    <t>SALDO AWAL</t>
  </si>
  <si>
    <t>TOTAL DEBET (KELUAR)</t>
  </si>
  <si>
    <t>TOTAL KREDIT (MASUK)</t>
  </si>
  <si>
    <t>SALDO AKHIR</t>
  </si>
  <si>
    <t>REKAP TRANSAKSI REKENING KORAN BNI - PERIODE FEB 2026</t>
  </si>
  <si>
    <t>PT HIJAU SEJAHTERA BERSAMA | Periode: 01-Feb-26 - 28-Feb-26 | Source: 2026-02_RK_BNI.pdf</t>
  </si>
  <si>
    <t>REKAP TRANSAKSI REKENING KORAN BNI - PERIODE MAR 2026</t>
  </si>
  <si>
    <t>PT HIJAU SEJAHTERA BERSAMA | Periode: 01-Mar-26 - 31-Mar-26 | Source: 2026-03_RK_BNI.pdf</t>
  </si>
  <si>
    <t>REKAP TRANSAKSI REKENING KORAN BNI - PERIODE APR 2026</t>
  </si>
  <si>
    <t>PT HIJAU SEJAHTERA BERSAMA | Periode: 01-Apr-26 - 30-Apr-26 | Source: 2026-04_RK_BNI.pdf</t>
  </si>
  <si>
    <t>REKAP TRANSAKSI REKENING KORAN BNI - PERIODE MEI 2026</t>
  </si>
  <si>
    <t>PT HIJAU SEJAHTERA BERSAMA | Periode: 01-May-26 - 31-May-26 | Source: 2026-05_RK_BNI.pdf</t>
  </si>
  <si>
    <t>REKAP TRANSAKSI REKENING KORAN BNI - PERIODE JUN 2026</t>
  </si>
  <si>
    <t>PT HIJAU SEJAHTERA BERSAMA | Periode: 01-Jun-26 - 30-Jun-26 | Source: 2026-06_RK_BNI.pdf</t>
  </si>
  <si>
    <t>REKAP TRANSAKSI REKENING KORAN BNI - PERIODE JUL 2026</t>
  </si>
  <si>
    <t>PT HIJAU SEJAHTERA BERSAMA | Periode: 01-Jul-26 - 31-Jul-26 | Source: 2026-07_RK_BNI.pdf</t>
  </si>
</sst>
</file>

<file path=xl/styles.xml><?xml version="1.0" encoding="utf-8"?>
<styleSheet xmlns="http://schemas.openxmlformats.org/spreadsheetml/2006/main">
  <numFmts count="1">
    <numFmt numFmtId="164" formatCode="&quot;Rp &quot;#,##0.00"/>
  </numFmts>
  <fonts count="13">
    <font>
      <sz val="11"/>
      <color theme="1"/>
      <name val="Calibri"/>
      <family val="2"/>
      <scheme val="minor"/>
    </font>
    <font>
      <b/>
      <sz val="16"/>
      <color rgb="FF005E6A"/>
      <name val="Calibri"/>
    </font>
    <font>
      <i/>
      <sz val="11"/>
      <color rgb="FF555555"/>
      <name val="Calibri"/>
    </font>
    <font>
      <b/>
      <sz val="12"/>
      <color rgb="FF004B54"/>
      <name val="Calibri"/>
    </font>
    <font>
      <b/>
      <sz val="10"/>
      <name val="Calibri"/>
    </font>
    <font>
      <sz val="10"/>
      <name val="Calibri"/>
    </font>
    <font>
      <b/>
      <sz val="9"/>
      <color rgb="FF555555"/>
      <name val="Calibri"/>
    </font>
    <font>
      <b/>
      <sz val="14"/>
      <color rgb="FF004B54"/>
      <name val="Calibri"/>
    </font>
    <font>
      <b/>
      <sz val="14"/>
      <color rgb="FF1E8449"/>
      <name val="Calibri"/>
    </font>
    <font>
      <b/>
      <sz val="14"/>
      <color rgb="FFC0392B"/>
      <name val="Calibri"/>
    </font>
    <font>
      <b/>
      <sz val="11"/>
      <color rgb="FFFFFFFF"/>
      <name val="Calibri"/>
    </font>
    <font>
      <b/>
      <sz val="10"/>
      <color rgb="FF1E8449"/>
      <name val="Calibri"/>
    </font>
    <font>
      <b/>
      <sz val="10"/>
      <color rgb="FFC0392B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6F2F4"/>
        <bgColor rgb="FFE6F2F4"/>
      </patternFill>
    </fill>
    <fill>
      <patternFill patternType="solid">
        <fgColor rgb="FFEBF5FB"/>
        <bgColor rgb="FFEBF5FB"/>
      </patternFill>
    </fill>
    <fill>
      <patternFill patternType="solid">
        <fgColor rgb="FFE8F8F5"/>
        <bgColor rgb="FFE8F8F5"/>
      </patternFill>
    </fill>
    <fill>
      <patternFill patternType="solid">
        <fgColor rgb="FFFDEDEC"/>
        <bgColor rgb="FFFDEDEC"/>
      </patternFill>
    </fill>
    <fill>
      <patternFill patternType="solid">
        <fgColor rgb="FFFEF9E7"/>
        <bgColor rgb="FFFEF9E7"/>
      </patternFill>
    </fill>
    <fill>
      <patternFill patternType="solid">
        <fgColor rgb="FFE0F2F1"/>
        <bgColor rgb="FFE0F2F1"/>
      </patternFill>
    </fill>
    <fill>
      <patternFill patternType="solid">
        <fgColor rgb="FF005E6A"/>
        <bgColor rgb="FF005E6A"/>
      </patternFill>
    </fill>
    <fill>
      <patternFill patternType="solid">
        <fgColor rgb="FFF9FCFC"/>
        <bgColor rgb="FFF9FCFC"/>
      </patternFill>
    </fill>
    <fill>
      <patternFill patternType="solid">
        <fgColor rgb="FFE0F0F2"/>
        <bgColor rgb="FFE0F0F2"/>
      </patternFill>
    </fill>
    <fill>
      <patternFill patternType="solid">
        <fgColor rgb="FF00838F"/>
        <bgColor rgb="FF00838F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D9D9D9"/>
      </left>
      <right style="thin">
        <color rgb="FFD9D9D9"/>
      </right>
      <top style="thin">
        <color rgb="FF005E6A"/>
      </top>
      <bottom style="double">
        <color rgb="FF005E6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6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0" borderId="1" xfId="0" applyFont="1" applyBorder="1"/>
    <xf numFmtId="164" fontId="7" fillId="3" borderId="4" xfId="0" applyNumberFormat="1" applyFont="1" applyFill="1" applyBorder="1" applyAlignment="1">
      <alignment horizontal="center" vertical="center"/>
    </xf>
    <xf numFmtId="164" fontId="8" fillId="4" borderId="4" xfId="0" applyNumberFormat="1" applyFont="1" applyFill="1" applyBorder="1" applyAlignment="1">
      <alignment horizontal="center" vertical="center"/>
    </xf>
    <xf numFmtId="164" fontId="9" fillId="5" borderId="4" xfId="0" applyNumberFormat="1" applyFont="1" applyFill="1" applyBorder="1" applyAlignment="1">
      <alignment horizontal="center" vertical="center"/>
    </xf>
    <xf numFmtId="164" fontId="7" fillId="6" borderId="4" xfId="0" applyNumberFormat="1" applyFont="1" applyFill="1" applyBorder="1" applyAlignment="1">
      <alignment horizontal="center" vertical="center"/>
    </xf>
    <xf numFmtId="164" fontId="7" fillId="7" borderId="4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/>
    </xf>
    <xf numFmtId="164" fontId="5" fillId="9" borderId="1" xfId="0" applyNumberFormat="1" applyFont="1" applyFill="1" applyBorder="1"/>
    <xf numFmtId="3" fontId="5" fillId="9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3" fontId="5" fillId="0" borderId="1" xfId="0" applyNumberFormat="1" applyFont="1" applyBorder="1" applyAlignment="1">
      <alignment horizontal="center"/>
    </xf>
    <xf numFmtId="0" fontId="4" fillId="10" borderId="5" xfId="0" applyFont="1" applyFill="1" applyBorder="1"/>
    <xf numFmtId="0" fontId="4" fillId="10" borderId="5" xfId="0" applyFont="1" applyFill="1" applyBorder="1" applyAlignment="1">
      <alignment horizontal="center"/>
    </xf>
    <xf numFmtId="164" fontId="4" fillId="10" borderId="5" xfId="0" applyNumberFormat="1" applyFont="1" applyFill="1" applyBorder="1"/>
    <xf numFmtId="3" fontId="4" fillId="10" borderId="5" xfId="0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 wrapText="1"/>
    </xf>
    <xf numFmtId="0" fontId="5" fillId="9" borderId="1" xfId="0" applyFont="1" applyFill="1" applyBorder="1"/>
    <xf numFmtId="0" fontId="11" fillId="0" borderId="1" xfId="0" applyFont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164" fontId="7" fillId="3" borderId="4" xfId="0" applyNumberFormat="1" applyFont="1" applyFill="1" applyBorder="1" applyAlignment="1">
      <alignment horizontal="center"/>
    </xf>
    <xf numFmtId="164" fontId="9" fillId="5" borderId="4" xfId="0" applyNumberFormat="1" applyFont="1" applyFill="1" applyBorder="1" applyAlignment="1">
      <alignment horizontal="center"/>
    </xf>
    <xf numFmtId="164" fontId="8" fillId="4" borderId="4" xfId="0" applyNumberFormat="1" applyFont="1" applyFill="1" applyBorder="1" applyAlignment="1">
      <alignment horizontal="center"/>
    </xf>
    <xf numFmtId="164" fontId="7" fillId="7" borderId="4" xfId="0" applyNumberFormat="1" applyFont="1" applyFill="1" applyBorder="1" applyAlignment="1">
      <alignment horizontal="center"/>
    </xf>
    <xf numFmtId="0" fontId="5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workbookViewId="0">
      <selection sqref="A1:G1"/>
    </sheetView>
  </sheetViews>
  <sheetFormatPr defaultRowHeight="15"/>
  <cols>
    <col min="1" max="1" width="60" customWidth="1"/>
    <col min="2" max="2" width="44" customWidth="1"/>
    <col min="3" max="3" width="37" customWidth="1"/>
    <col min="4" max="5" width="55" customWidth="1"/>
    <col min="6" max="6" width="19" customWidth="1"/>
    <col min="7" max="8" width="20" customWidth="1"/>
    <col min="9" max="10" width="12" customWidth="1"/>
  </cols>
  <sheetData>
    <row r="1" spans="1:10" ht="21">
      <c r="A1" s="42" t="s">
        <v>0</v>
      </c>
      <c r="B1" s="43"/>
      <c r="C1" s="43"/>
      <c r="D1" s="43"/>
      <c r="E1" s="43"/>
      <c r="F1" s="43"/>
      <c r="G1" s="43"/>
    </row>
    <row r="2" spans="1:10">
      <c r="A2" s="44" t="s">
        <v>1</v>
      </c>
      <c r="B2" s="43"/>
      <c r="C2" s="43"/>
      <c r="D2" s="43"/>
      <c r="E2" s="43"/>
      <c r="F2" s="43"/>
      <c r="G2" s="43"/>
    </row>
    <row r="4" spans="1:10" ht="15.75">
      <c r="A4" s="1" t="s">
        <v>2</v>
      </c>
      <c r="F4" s="2" t="s">
        <v>3</v>
      </c>
      <c r="G4" s="3" t="s">
        <v>4</v>
      </c>
      <c r="H4" s="4" t="s">
        <v>5</v>
      </c>
      <c r="I4" s="5" t="s">
        <v>6</v>
      </c>
      <c r="J4" s="6" t="s">
        <v>7</v>
      </c>
    </row>
    <row r="5" spans="1:10" ht="18.75">
      <c r="A5" s="7" t="s">
        <v>8</v>
      </c>
      <c r="B5" s="39" t="s">
        <v>9</v>
      </c>
      <c r="C5" s="40"/>
      <c r="D5" s="41"/>
      <c r="F5" s="9">
        <v>2316102</v>
      </c>
      <c r="G5" s="10">
        <f>SUM(E12:E18)</f>
        <v>2368658312</v>
      </c>
      <c r="H5" s="11">
        <f>SUM(D12:D18)</f>
        <v>2238150351</v>
      </c>
      <c r="I5" s="12">
        <f>G5-H5</f>
        <v>130507961</v>
      </c>
      <c r="J5" s="13">
        <v>132824063</v>
      </c>
    </row>
    <row r="6" spans="1:10">
      <c r="A6" s="7" t="s">
        <v>10</v>
      </c>
      <c r="B6" s="39" t="s">
        <v>11</v>
      </c>
      <c r="C6" s="40"/>
      <c r="D6" s="41"/>
    </row>
    <row r="7" spans="1:10">
      <c r="A7" s="7" t="s">
        <v>12</v>
      </c>
      <c r="B7" s="39" t="s">
        <v>13</v>
      </c>
      <c r="C7" s="40"/>
      <c r="D7" s="41"/>
    </row>
    <row r="8" spans="1:10">
      <c r="A8" s="7" t="s">
        <v>14</v>
      </c>
      <c r="B8" s="39" t="s">
        <v>15</v>
      </c>
      <c r="C8" s="40"/>
      <c r="D8" s="41"/>
    </row>
    <row r="9" spans="1:10">
      <c r="A9" s="7" t="s">
        <v>16</v>
      </c>
      <c r="B9" s="39" t="s">
        <v>17</v>
      </c>
      <c r="C9" s="40"/>
      <c r="D9" s="41"/>
    </row>
    <row r="10" spans="1:10" ht="15.75">
      <c r="A10" s="1" t="s">
        <v>18</v>
      </c>
    </row>
    <row r="11" spans="1:10" ht="27.95" customHeight="1">
      <c r="A11" s="14" t="s">
        <v>19</v>
      </c>
      <c r="B11" s="14" t="s">
        <v>20</v>
      </c>
      <c r="C11" s="14" t="s">
        <v>21</v>
      </c>
      <c r="D11" s="14" t="s">
        <v>22</v>
      </c>
      <c r="E11" s="14" t="s">
        <v>23</v>
      </c>
      <c r="F11" s="14" t="s">
        <v>24</v>
      </c>
      <c r="G11" s="14" t="s">
        <v>25</v>
      </c>
      <c r="H11" s="14" t="s">
        <v>26</v>
      </c>
    </row>
    <row r="12" spans="1:10">
      <c r="A12" s="15">
        <v>1</v>
      </c>
      <c r="B12" s="15" t="s">
        <v>27</v>
      </c>
      <c r="C12" s="16">
        <v>2316102</v>
      </c>
      <c r="D12" s="16">
        <v>27174981</v>
      </c>
      <c r="E12" s="16">
        <v>28500010</v>
      </c>
      <c r="F12" s="16">
        <f t="shared" ref="F12:F19" si="0">E12-D12</f>
        <v>1325029</v>
      </c>
      <c r="G12" s="16">
        <v>3641131</v>
      </c>
      <c r="H12" s="17">
        <v>18</v>
      </c>
    </row>
    <row r="13" spans="1:10">
      <c r="A13" s="18">
        <v>2</v>
      </c>
      <c r="B13" s="18" t="s">
        <v>28</v>
      </c>
      <c r="C13" s="19">
        <v>3641131</v>
      </c>
      <c r="D13" s="19">
        <v>34532589</v>
      </c>
      <c r="E13" s="19">
        <v>32050296</v>
      </c>
      <c r="F13" s="19">
        <f t="shared" si="0"/>
        <v>-2482293</v>
      </c>
      <c r="G13" s="19">
        <v>1158838</v>
      </c>
      <c r="H13" s="20">
        <v>12</v>
      </c>
    </row>
    <row r="14" spans="1:10">
      <c r="A14" s="15">
        <v>3</v>
      </c>
      <c r="B14" s="15" t="s">
        <v>29</v>
      </c>
      <c r="C14" s="16">
        <v>1158838</v>
      </c>
      <c r="D14" s="16">
        <v>8115149</v>
      </c>
      <c r="E14" s="16">
        <v>142069630</v>
      </c>
      <c r="F14" s="16">
        <f t="shared" si="0"/>
        <v>133954481</v>
      </c>
      <c r="G14" s="16">
        <v>135113319</v>
      </c>
      <c r="H14" s="17">
        <v>9</v>
      </c>
    </row>
    <row r="15" spans="1:10">
      <c r="A15" s="18">
        <v>4</v>
      </c>
      <c r="B15" s="18" t="s">
        <v>30</v>
      </c>
      <c r="C15" s="19">
        <v>135113319</v>
      </c>
      <c r="D15" s="19">
        <v>646720434</v>
      </c>
      <c r="E15" s="19">
        <v>554778538</v>
      </c>
      <c r="F15" s="19">
        <f t="shared" si="0"/>
        <v>-91941896</v>
      </c>
      <c r="G15" s="19">
        <v>43171423</v>
      </c>
      <c r="H15" s="20">
        <v>23</v>
      </c>
    </row>
    <row r="16" spans="1:10">
      <c r="A16" s="15">
        <v>5</v>
      </c>
      <c r="B16" s="15" t="s">
        <v>31</v>
      </c>
      <c r="C16" s="16">
        <v>43171423</v>
      </c>
      <c r="D16" s="16">
        <v>551530582</v>
      </c>
      <c r="E16" s="16">
        <v>514791752</v>
      </c>
      <c r="F16" s="16">
        <f t="shared" si="0"/>
        <v>-36738830</v>
      </c>
      <c r="G16" s="16">
        <v>6432593</v>
      </c>
      <c r="H16" s="17">
        <v>22</v>
      </c>
    </row>
    <row r="17" spans="1:8">
      <c r="A17" s="18">
        <v>6</v>
      </c>
      <c r="B17" s="18" t="s">
        <v>32</v>
      </c>
      <c r="C17" s="19">
        <v>6432593</v>
      </c>
      <c r="D17" s="19">
        <v>685260678</v>
      </c>
      <c r="E17" s="19">
        <v>803248487</v>
      </c>
      <c r="F17" s="19">
        <f t="shared" si="0"/>
        <v>117987809</v>
      </c>
      <c r="G17" s="19">
        <v>124420402</v>
      </c>
      <c r="H17" s="20">
        <v>32</v>
      </c>
    </row>
    <row r="18" spans="1:8">
      <c r="A18" s="15">
        <v>7</v>
      </c>
      <c r="B18" s="15" t="s">
        <v>33</v>
      </c>
      <c r="C18" s="16">
        <v>124420402</v>
      </c>
      <c r="D18" s="16">
        <v>284815938</v>
      </c>
      <c r="E18" s="16">
        <v>293219599</v>
      </c>
      <c r="F18" s="16">
        <f t="shared" si="0"/>
        <v>8403661</v>
      </c>
      <c r="G18" s="16">
        <v>132824063</v>
      </c>
      <c r="H18" s="17">
        <v>13</v>
      </c>
    </row>
    <row r="19" spans="1:8">
      <c r="A19" s="21"/>
      <c r="B19" s="22" t="s">
        <v>34</v>
      </c>
      <c r="C19" s="23">
        <v>2316102</v>
      </c>
      <c r="D19" s="23">
        <f>SUM(D12:D18)</f>
        <v>2238150351</v>
      </c>
      <c r="E19" s="23">
        <f>SUM(E12:E18)</f>
        <v>2368658312</v>
      </c>
      <c r="F19" s="23">
        <f t="shared" si="0"/>
        <v>130507961</v>
      </c>
      <c r="G19" s="23">
        <v>132824063</v>
      </c>
      <c r="H19" s="24">
        <f>SUM(H12:H18)</f>
        <v>129</v>
      </c>
    </row>
    <row r="22" spans="1:8" ht="15.75">
      <c r="A22" s="1" t="s">
        <v>35</v>
      </c>
    </row>
    <row r="23" spans="1:8" ht="26.1" customHeight="1">
      <c r="A23" s="25" t="s">
        <v>19</v>
      </c>
      <c r="B23" s="25" t="s">
        <v>36</v>
      </c>
      <c r="C23" s="25" t="s">
        <v>26</v>
      </c>
      <c r="D23" s="25" t="s">
        <v>37</v>
      </c>
      <c r="E23" s="25" t="s">
        <v>38</v>
      </c>
      <c r="F23" s="25" t="s">
        <v>39</v>
      </c>
    </row>
    <row r="24" spans="1:8">
      <c r="A24" s="15">
        <v>1</v>
      </c>
      <c r="B24" s="26" t="s">
        <v>40</v>
      </c>
      <c r="C24" s="17">
        <f>COUNTIF('Rekap Master'!H:H, B24)</f>
        <v>31</v>
      </c>
      <c r="D24" s="16">
        <f>SUMIF('Rekap Master'!H:H, B24, 'Rekap Master'!J:J)</f>
        <v>957402250</v>
      </c>
      <c r="E24" s="16">
        <f>SUMIF('Rekap Master'!H:H, B24, 'Rekap Master'!K:K)</f>
        <v>313870858</v>
      </c>
      <c r="F24" s="16">
        <f t="shared" ref="F24:F35" si="1">E24-D24</f>
        <v>-643531392</v>
      </c>
    </row>
    <row r="25" spans="1:8">
      <c r="A25" s="18">
        <v>2</v>
      </c>
      <c r="B25" s="8" t="s">
        <v>41</v>
      </c>
      <c r="C25" s="20">
        <f>COUNTIF('Rekap Master'!H:H, B25)</f>
        <v>27</v>
      </c>
      <c r="D25" s="19">
        <f>SUMIF('Rekap Master'!H:H, B25, 'Rekap Master'!J:J)</f>
        <v>1099298647</v>
      </c>
      <c r="E25" s="19">
        <f>SUMIF('Rekap Master'!H:H, B25, 'Rekap Master'!K:K)</f>
        <v>0</v>
      </c>
      <c r="F25" s="19">
        <f t="shared" si="1"/>
        <v>-1099298647</v>
      </c>
    </row>
    <row r="26" spans="1:8">
      <c r="A26" s="15">
        <v>3</v>
      </c>
      <c r="B26" s="26" t="s">
        <v>42</v>
      </c>
      <c r="C26" s="17">
        <f>COUNTIF('Rekap Master'!H:H, B26)</f>
        <v>4</v>
      </c>
      <c r="D26" s="16">
        <f>SUMIF('Rekap Master'!H:H, B26, 'Rekap Master'!J:J)</f>
        <v>18626910</v>
      </c>
      <c r="E26" s="16">
        <f>SUMIF('Rekap Master'!H:H, B26, 'Rekap Master'!K:K)</f>
        <v>0</v>
      </c>
      <c r="F26" s="16">
        <f t="shared" si="1"/>
        <v>-18626910</v>
      </c>
    </row>
    <row r="27" spans="1:8">
      <c r="A27" s="18">
        <v>4</v>
      </c>
      <c r="B27" s="8" t="s">
        <v>43</v>
      </c>
      <c r="C27" s="20">
        <f>COUNTIF('Rekap Master'!H:H, B27)</f>
        <v>6</v>
      </c>
      <c r="D27" s="19">
        <f>SUMIF('Rekap Master'!H:H, B27, 'Rekap Master'!J:J)</f>
        <v>9496801</v>
      </c>
      <c r="E27" s="19">
        <f>SUMIF('Rekap Master'!H:H, B27, 'Rekap Master'!K:K)</f>
        <v>0</v>
      </c>
      <c r="F27" s="19">
        <f t="shared" si="1"/>
        <v>-9496801</v>
      </c>
    </row>
    <row r="28" spans="1:8">
      <c r="A28" s="15">
        <v>5</v>
      </c>
      <c r="B28" s="26" t="s">
        <v>44</v>
      </c>
      <c r="C28" s="17">
        <f>COUNTIF('Rekap Master'!H:H, B28)</f>
        <v>6</v>
      </c>
      <c r="D28" s="16">
        <f>SUMIF('Rekap Master'!H:H, B28, 'Rekap Master'!J:J)</f>
        <v>3010500</v>
      </c>
      <c r="E28" s="16">
        <f>SUMIF('Rekap Master'!H:H, B28, 'Rekap Master'!K:K)</f>
        <v>0</v>
      </c>
      <c r="F28" s="16">
        <f t="shared" si="1"/>
        <v>-3010500</v>
      </c>
    </row>
    <row r="29" spans="1:8">
      <c r="A29" s="18">
        <v>6</v>
      </c>
      <c r="B29" s="8" t="s">
        <v>45</v>
      </c>
      <c r="C29" s="20">
        <f>COUNTIF('Rekap Master'!H:H, B29)</f>
        <v>30</v>
      </c>
      <c r="D29" s="19">
        <f>SUMIF('Rekap Master'!H:H, B29, 'Rekap Master'!J:J)</f>
        <v>35000</v>
      </c>
      <c r="E29" s="19">
        <f>SUMIF('Rekap Master'!H:H, B29, 'Rekap Master'!K:K)</f>
        <v>1586874280</v>
      </c>
      <c r="F29" s="19">
        <f t="shared" si="1"/>
        <v>1586839280</v>
      </c>
    </row>
    <row r="30" spans="1:8">
      <c r="A30" s="15">
        <v>7</v>
      </c>
      <c r="B30" s="26" t="s">
        <v>46</v>
      </c>
      <c r="C30" s="17">
        <f>COUNTIF('Rekap Master'!H:H, B30)</f>
        <v>1</v>
      </c>
      <c r="D30" s="16">
        <f>SUMIF('Rekap Master'!H:H, B30, 'Rekap Master'!J:J)</f>
        <v>0</v>
      </c>
      <c r="E30" s="16">
        <f>SUMIF('Rekap Master'!H:H, B30, 'Rekap Master'!K:K)</f>
        <v>132500000</v>
      </c>
      <c r="F30" s="16">
        <f t="shared" si="1"/>
        <v>132500000</v>
      </c>
    </row>
    <row r="31" spans="1:8">
      <c r="A31" s="18">
        <v>8</v>
      </c>
      <c r="B31" s="8" t="s">
        <v>47</v>
      </c>
      <c r="C31" s="20">
        <f>COUNTIF('Rekap Master'!H:H, B31)</f>
        <v>7</v>
      </c>
      <c r="D31" s="19">
        <f>SUMIF('Rekap Master'!H:H, B31, 'Rekap Master'!J:J)</f>
        <v>0</v>
      </c>
      <c r="E31" s="19">
        <f>SUMIF('Rekap Master'!H:H, B31, 'Rekap Master'!K:K)</f>
        <v>494013</v>
      </c>
      <c r="F31" s="19">
        <f t="shared" si="1"/>
        <v>494013</v>
      </c>
    </row>
    <row r="32" spans="1:8">
      <c r="A32" s="15">
        <v>9</v>
      </c>
      <c r="B32" s="26" t="s">
        <v>48</v>
      </c>
      <c r="C32" s="17">
        <f>COUNTIF('Rekap Master'!H:H, B32)</f>
        <v>8</v>
      </c>
      <c r="D32" s="16">
        <f>SUMIF('Rekap Master'!H:H, B32, 'Rekap Master'!J:J)</f>
        <v>181500</v>
      </c>
      <c r="E32" s="16">
        <f>SUMIF('Rekap Master'!H:H, B32, 'Rekap Master'!K:K)</f>
        <v>0</v>
      </c>
      <c r="F32" s="16">
        <f t="shared" si="1"/>
        <v>-181500</v>
      </c>
    </row>
    <row r="33" spans="1:6">
      <c r="A33" s="18">
        <v>10</v>
      </c>
      <c r="B33" s="8" t="s">
        <v>49</v>
      </c>
      <c r="C33" s="20">
        <f>COUNTIF('Rekap Master'!H:H, B33)</f>
        <v>5</v>
      </c>
      <c r="D33" s="19">
        <f>SUMIF('Rekap Master'!H:H, B33, 'Rekap Master'!J:J)</f>
        <v>98743</v>
      </c>
      <c r="E33" s="19">
        <f>SUMIF('Rekap Master'!H:H, B33, 'Rekap Master'!K:K)</f>
        <v>0</v>
      </c>
      <c r="F33" s="19">
        <f t="shared" si="1"/>
        <v>-98743</v>
      </c>
    </row>
    <row r="34" spans="1:6">
      <c r="A34" s="15">
        <v>11</v>
      </c>
      <c r="B34" s="26" t="s">
        <v>50</v>
      </c>
      <c r="C34" s="17">
        <f>COUNTIF('Rekap Master'!H:H, B34)</f>
        <v>4</v>
      </c>
      <c r="D34" s="16">
        <f>SUMIF('Rekap Master'!H:H, B34, 'Rekap Master'!J:J)</f>
        <v>150000000</v>
      </c>
      <c r="E34" s="16">
        <f>SUMIF('Rekap Master'!H:H, B34, 'Rekap Master'!K:K)</f>
        <v>334919161</v>
      </c>
      <c r="F34" s="16">
        <f t="shared" si="1"/>
        <v>184919161</v>
      </c>
    </row>
    <row r="35" spans="1:6">
      <c r="A35" s="21"/>
      <c r="B35" s="22" t="s">
        <v>51</v>
      </c>
      <c r="C35" s="24">
        <f>SUM(C24:C34)</f>
        <v>129</v>
      </c>
      <c r="D35" s="23">
        <f>SUM(D24:D34)</f>
        <v>2238150351</v>
      </c>
      <c r="E35" s="23">
        <f>SUM(E24:E34)</f>
        <v>2368658312</v>
      </c>
      <c r="F35" s="23">
        <f t="shared" si="1"/>
        <v>130507961</v>
      </c>
    </row>
  </sheetData>
  <mergeCells count="7">
    <mergeCell ref="B5:D5"/>
    <mergeCell ref="A1:G1"/>
    <mergeCell ref="B8:D8"/>
    <mergeCell ref="B9:D9"/>
    <mergeCell ref="A2:G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4"/>
  <sheetViews>
    <sheetView topLeftCell="G1" workbookViewId="0">
      <pane ySplit="4" topLeftCell="A5" activePane="bottomLeft" state="frozen"/>
      <selection pane="bottomLeft" activeCell="G140" sqref="G140"/>
    </sheetView>
  </sheetViews>
  <sheetFormatPr defaultRowHeight="15"/>
  <cols>
    <col min="1" max="2" width="12" customWidth="1"/>
    <col min="3" max="4" width="23" customWidth="1"/>
    <col min="5" max="5" width="14" customWidth="1"/>
    <col min="6" max="6" width="60" customWidth="1"/>
    <col min="7" max="7" width="97.42578125" customWidth="1"/>
    <col min="8" max="8" width="25" customWidth="1"/>
    <col min="9" max="9" width="12" customWidth="1"/>
    <col min="10" max="11" width="23" customWidth="1"/>
    <col min="12" max="12" width="20" customWidth="1"/>
  </cols>
  <sheetData>
    <row r="1" spans="1:12" ht="21">
      <c r="A1" s="45" t="s">
        <v>52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4" t="s">
        <v>53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4" spans="1:12" ht="27.95" customHeight="1">
      <c r="A4" s="14" t="s">
        <v>19</v>
      </c>
      <c r="B4" s="14" t="s">
        <v>20</v>
      </c>
      <c r="C4" s="14" t="s">
        <v>54</v>
      </c>
      <c r="D4" s="14" t="s">
        <v>55</v>
      </c>
      <c r="E4" s="14" t="s">
        <v>56</v>
      </c>
      <c r="F4" s="14" t="s">
        <v>57</v>
      </c>
      <c r="G4" s="14" t="s">
        <v>58</v>
      </c>
      <c r="H4" s="14" t="s">
        <v>59</v>
      </c>
      <c r="I4" s="14" t="s">
        <v>60</v>
      </c>
      <c r="J4" s="14" t="s">
        <v>61</v>
      </c>
      <c r="K4" s="14" t="s">
        <v>62</v>
      </c>
      <c r="L4" s="14" t="s">
        <v>25</v>
      </c>
    </row>
    <row r="5" spans="1:12">
      <c r="A5" s="18">
        <v>1</v>
      </c>
      <c r="B5" s="18" t="s">
        <v>27</v>
      </c>
      <c r="C5" s="18" t="s">
        <v>63</v>
      </c>
      <c r="D5" s="18" t="s">
        <v>63</v>
      </c>
      <c r="E5" s="18" t="s">
        <v>64</v>
      </c>
      <c r="F5" s="8" t="s">
        <v>65</v>
      </c>
      <c r="G5" s="8" t="s">
        <v>66</v>
      </c>
      <c r="H5" s="8" t="s">
        <v>40</v>
      </c>
      <c r="I5" s="27" t="s">
        <v>67</v>
      </c>
      <c r="J5" s="19">
        <v>0</v>
      </c>
      <c r="K5" s="19">
        <v>5500000</v>
      </c>
      <c r="L5" s="19">
        <v>7816102</v>
      </c>
    </row>
    <row r="6" spans="1:12">
      <c r="A6" s="15">
        <v>2</v>
      </c>
      <c r="B6" s="15" t="s">
        <v>27</v>
      </c>
      <c r="C6" s="15" t="s">
        <v>68</v>
      </c>
      <c r="D6" s="15" t="s">
        <v>68</v>
      </c>
      <c r="E6" s="15" t="s">
        <v>69</v>
      </c>
      <c r="F6" s="26" t="s">
        <v>70</v>
      </c>
      <c r="G6" s="26" t="s">
        <v>71</v>
      </c>
      <c r="H6" s="26" t="s">
        <v>41</v>
      </c>
      <c r="I6" s="28" t="s">
        <v>72</v>
      </c>
      <c r="J6" s="16">
        <v>13240</v>
      </c>
      <c r="K6" s="16">
        <v>0</v>
      </c>
      <c r="L6" s="16">
        <v>7802862</v>
      </c>
    </row>
    <row r="7" spans="1:12">
      <c r="A7" s="18">
        <v>3</v>
      </c>
      <c r="B7" s="18" t="s">
        <v>27</v>
      </c>
      <c r="C7" s="18" t="s">
        <v>68</v>
      </c>
      <c r="D7" s="18" t="s">
        <v>68</v>
      </c>
      <c r="E7" s="18" t="s">
        <v>73</v>
      </c>
      <c r="F7" s="8" t="s">
        <v>70</v>
      </c>
      <c r="G7" s="8" t="s">
        <v>74</v>
      </c>
      <c r="H7" s="8" t="s">
        <v>42</v>
      </c>
      <c r="I7" s="29" t="s">
        <v>72</v>
      </c>
      <c r="J7" s="19">
        <v>3804623</v>
      </c>
      <c r="K7" s="19">
        <v>0</v>
      </c>
      <c r="L7" s="19">
        <v>3998239</v>
      </c>
    </row>
    <row r="8" spans="1:12">
      <c r="A8" s="15">
        <v>4</v>
      </c>
      <c r="B8" s="15" t="s">
        <v>27</v>
      </c>
      <c r="C8" s="15" t="s">
        <v>75</v>
      </c>
      <c r="D8" s="15" t="s">
        <v>75</v>
      </c>
      <c r="E8" s="15" t="s">
        <v>76</v>
      </c>
      <c r="F8" s="26" t="s">
        <v>77</v>
      </c>
      <c r="G8" s="26" t="s">
        <v>78</v>
      </c>
      <c r="H8" s="26" t="s">
        <v>40</v>
      </c>
      <c r="I8" s="28" t="s">
        <v>72</v>
      </c>
      <c r="J8" s="16">
        <v>540000</v>
      </c>
      <c r="K8" s="16">
        <v>0</v>
      </c>
      <c r="L8" s="16">
        <v>3458239</v>
      </c>
    </row>
    <row r="9" spans="1:12">
      <c r="A9" s="18">
        <v>5</v>
      </c>
      <c r="B9" s="18" t="s">
        <v>27</v>
      </c>
      <c r="C9" s="18" t="s">
        <v>79</v>
      </c>
      <c r="D9" s="18" t="s">
        <v>79</v>
      </c>
      <c r="E9" s="18" t="s">
        <v>76</v>
      </c>
      <c r="F9" s="8" t="s">
        <v>80</v>
      </c>
      <c r="G9" s="8" t="s">
        <v>81</v>
      </c>
      <c r="H9" s="8" t="s">
        <v>48</v>
      </c>
      <c r="I9" s="29" t="s">
        <v>72</v>
      </c>
      <c r="J9" s="19">
        <v>6500</v>
      </c>
      <c r="K9" s="19">
        <v>0</v>
      </c>
      <c r="L9" s="19">
        <v>3451739</v>
      </c>
    </row>
    <row r="10" spans="1:12">
      <c r="A10" s="15">
        <v>6</v>
      </c>
      <c r="B10" s="15" t="s">
        <v>27</v>
      </c>
      <c r="C10" s="15" t="s">
        <v>82</v>
      </c>
      <c r="D10" s="15" t="s">
        <v>82</v>
      </c>
      <c r="E10" s="15" t="s">
        <v>83</v>
      </c>
      <c r="F10" s="26" t="s">
        <v>84</v>
      </c>
      <c r="G10" s="26" t="s">
        <v>85</v>
      </c>
      <c r="H10" s="26" t="s">
        <v>43</v>
      </c>
      <c r="I10" s="28" t="s">
        <v>72</v>
      </c>
      <c r="J10" s="16">
        <v>1250475</v>
      </c>
      <c r="K10" s="16">
        <v>0</v>
      </c>
      <c r="L10" s="16">
        <v>2201264</v>
      </c>
    </row>
    <row r="11" spans="1:12">
      <c r="A11" s="18">
        <v>7</v>
      </c>
      <c r="B11" s="18" t="s">
        <v>27</v>
      </c>
      <c r="C11" s="18" t="s">
        <v>86</v>
      </c>
      <c r="D11" s="18" t="s">
        <v>86</v>
      </c>
      <c r="E11" s="18" t="s">
        <v>87</v>
      </c>
      <c r="F11" s="8" t="s">
        <v>65</v>
      </c>
      <c r="G11" s="8" t="s">
        <v>88</v>
      </c>
      <c r="H11" s="8" t="s">
        <v>45</v>
      </c>
      <c r="I11" s="27" t="s">
        <v>67</v>
      </c>
      <c r="J11" s="19">
        <v>0</v>
      </c>
      <c r="K11" s="19">
        <v>23000000</v>
      </c>
      <c r="L11" s="19">
        <v>25201264</v>
      </c>
    </row>
    <row r="12" spans="1:12">
      <c r="A12" s="15">
        <v>8</v>
      </c>
      <c r="B12" s="15" t="s">
        <v>27</v>
      </c>
      <c r="C12" s="15" t="s">
        <v>89</v>
      </c>
      <c r="D12" s="15" t="s">
        <v>89</v>
      </c>
      <c r="E12" s="15" t="s">
        <v>90</v>
      </c>
      <c r="F12" s="26" t="s">
        <v>70</v>
      </c>
      <c r="G12" s="26" t="s">
        <v>91</v>
      </c>
      <c r="H12" s="26" t="s">
        <v>41</v>
      </c>
      <c r="I12" s="28" t="s">
        <v>72</v>
      </c>
      <c r="J12" s="16">
        <v>16429563</v>
      </c>
      <c r="K12" s="16">
        <v>0</v>
      </c>
      <c r="L12" s="16">
        <v>8771701</v>
      </c>
    </row>
    <row r="13" spans="1:12">
      <c r="A13" s="18">
        <v>9</v>
      </c>
      <c r="B13" s="18" t="s">
        <v>27</v>
      </c>
      <c r="C13" s="18" t="s">
        <v>92</v>
      </c>
      <c r="D13" s="18" t="s">
        <v>92</v>
      </c>
      <c r="E13" s="18" t="s">
        <v>93</v>
      </c>
      <c r="F13" s="8" t="s">
        <v>70</v>
      </c>
      <c r="G13" s="8" t="s">
        <v>94</v>
      </c>
      <c r="H13" s="8" t="s">
        <v>44</v>
      </c>
      <c r="I13" s="29" t="s">
        <v>72</v>
      </c>
      <c r="J13" s="19">
        <v>1000000</v>
      </c>
      <c r="K13" s="19">
        <v>0</v>
      </c>
      <c r="L13" s="19">
        <v>7771701</v>
      </c>
    </row>
    <row r="14" spans="1:12">
      <c r="A14" s="15">
        <v>10</v>
      </c>
      <c r="B14" s="15" t="s">
        <v>27</v>
      </c>
      <c r="C14" s="15" t="s">
        <v>92</v>
      </c>
      <c r="D14" s="15" t="s">
        <v>92</v>
      </c>
      <c r="E14" s="15" t="s">
        <v>93</v>
      </c>
      <c r="F14" s="26" t="s">
        <v>70</v>
      </c>
      <c r="G14" s="26" t="s">
        <v>95</v>
      </c>
      <c r="H14" s="26" t="s">
        <v>44</v>
      </c>
      <c r="I14" s="28" t="s">
        <v>72</v>
      </c>
      <c r="J14" s="16">
        <v>3500</v>
      </c>
      <c r="K14" s="16">
        <v>0</v>
      </c>
      <c r="L14" s="16">
        <v>7768201</v>
      </c>
    </row>
    <row r="15" spans="1:12">
      <c r="A15" s="18">
        <v>11</v>
      </c>
      <c r="B15" s="18" t="s">
        <v>27</v>
      </c>
      <c r="C15" s="18" t="s">
        <v>89</v>
      </c>
      <c r="D15" s="18" t="s">
        <v>89</v>
      </c>
      <c r="E15" s="18" t="s">
        <v>96</v>
      </c>
      <c r="F15" s="8" t="s">
        <v>70</v>
      </c>
      <c r="G15" s="8" t="s">
        <v>97</v>
      </c>
      <c r="H15" s="8" t="s">
        <v>44</v>
      </c>
      <c r="I15" s="29" t="s">
        <v>72</v>
      </c>
      <c r="J15" s="19">
        <v>1000000</v>
      </c>
      <c r="K15" s="19">
        <v>0</v>
      </c>
      <c r="L15" s="19">
        <v>6768201</v>
      </c>
    </row>
    <row r="16" spans="1:12">
      <c r="A16" s="15">
        <v>12</v>
      </c>
      <c r="B16" s="15" t="s">
        <v>27</v>
      </c>
      <c r="C16" s="15" t="s">
        <v>89</v>
      </c>
      <c r="D16" s="15" t="s">
        <v>89</v>
      </c>
      <c r="E16" s="15" t="s">
        <v>96</v>
      </c>
      <c r="F16" s="26" t="s">
        <v>70</v>
      </c>
      <c r="G16" s="26" t="s">
        <v>98</v>
      </c>
      <c r="H16" s="26" t="s">
        <v>44</v>
      </c>
      <c r="I16" s="28" t="s">
        <v>72</v>
      </c>
      <c r="J16" s="16">
        <v>3500</v>
      </c>
      <c r="K16" s="16">
        <v>0</v>
      </c>
      <c r="L16" s="16">
        <v>6764701</v>
      </c>
    </row>
    <row r="17" spans="1:12">
      <c r="A17" s="18">
        <v>13</v>
      </c>
      <c r="B17" s="18" t="s">
        <v>27</v>
      </c>
      <c r="C17" s="18" t="s">
        <v>99</v>
      </c>
      <c r="D17" s="18" t="s">
        <v>99</v>
      </c>
      <c r="E17" s="18" t="s">
        <v>100</v>
      </c>
      <c r="F17" s="8" t="s">
        <v>70</v>
      </c>
      <c r="G17" s="8" t="s">
        <v>101</v>
      </c>
      <c r="H17" s="8" t="s">
        <v>41</v>
      </c>
      <c r="I17" s="29" t="s">
        <v>72</v>
      </c>
      <c r="J17" s="19">
        <v>20080</v>
      </c>
      <c r="K17" s="19">
        <v>0</v>
      </c>
      <c r="L17" s="19">
        <v>6744621</v>
      </c>
    </row>
    <row r="18" spans="1:12">
      <c r="A18" s="15">
        <v>14</v>
      </c>
      <c r="B18" s="15" t="s">
        <v>27</v>
      </c>
      <c r="C18" s="15" t="s">
        <v>99</v>
      </c>
      <c r="D18" s="15" t="s">
        <v>99</v>
      </c>
      <c r="E18" s="15" t="s">
        <v>102</v>
      </c>
      <c r="F18" s="26" t="s">
        <v>70</v>
      </c>
      <c r="G18" s="26" t="s">
        <v>103</v>
      </c>
      <c r="H18" s="26" t="s">
        <v>44</v>
      </c>
      <c r="I18" s="28" t="s">
        <v>72</v>
      </c>
      <c r="J18" s="16">
        <v>1000000</v>
      </c>
      <c r="K18" s="16">
        <v>0</v>
      </c>
      <c r="L18" s="16">
        <v>5744621</v>
      </c>
    </row>
    <row r="19" spans="1:12">
      <c r="A19" s="18">
        <v>15</v>
      </c>
      <c r="B19" s="18" t="s">
        <v>27</v>
      </c>
      <c r="C19" s="18" t="s">
        <v>99</v>
      </c>
      <c r="D19" s="18" t="s">
        <v>99</v>
      </c>
      <c r="E19" s="18" t="s">
        <v>102</v>
      </c>
      <c r="F19" s="8" t="s">
        <v>70</v>
      </c>
      <c r="G19" s="8" t="s">
        <v>104</v>
      </c>
      <c r="H19" s="8" t="s">
        <v>44</v>
      </c>
      <c r="I19" s="29" t="s">
        <v>72</v>
      </c>
      <c r="J19" s="19">
        <v>3500</v>
      </c>
      <c r="K19" s="19">
        <v>0</v>
      </c>
      <c r="L19" s="19">
        <v>5741121</v>
      </c>
    </row>
    <row r="20" spans="1:12">
      <c r="A20" s="15">
        <v>16</v>
      </c>
      <c r="B20" s="15" t="s">
        <v>27</v>
      </c>
      <c r="C20" s="15" t="s">
        <v>105</v>
      </c>
      <c r="D20" s="15" t="s">
        <v>105</v>
      </c>
      <c r="E20" s="15" t="s">
        <v>106</v>
      </c>
      <c r="F20" s="26" t="s">
        <v>107</v>
      </c>
      <c r="G20" s="26" t="s">
        <v>108</v>
      </c>
      <c r="H20" s="26" t="s">
        <v>41</v>
      </c>
      <c r="I20" s="28" t="s">
        <v>72</v>
      </c>
      <c r="J20" s="16">
        <v>2075000</v>
      </c>
      <c r="K20" s="16">
        <v>0</v>
      </c>
      <c r="L20" s="16">
        <v>3666121</v>
      </c>
    </row>
    <row r="21" spans="1:12">
      <c r="A21" s="18">
        <v>17</v>
      </c>
      <c r="B21" s="18" t="s">
        <v>27</v>
      </c>
      <c r="C21" s="18" t="s">
        <v>109</v>
      </c>
      <c r="D21" s="18" t="s">
        <v>109</v>
      </c>
      <c r="E21" s="18" t="s">
        <v>110</v>
      </c>
      <c r="F21" s="8" t="s">
        <v>111</v>
      </c>
      <c r="G21" s="8" t="s">
        <v>112</v>
      </c>
      <c r="H21" s="8" t="s">
        <v>47</v>
      </c>
      <c r="I21" s="27" t="s">
        <v>67</v>
      </c>
      <c r="J21" s="19">
        <v>0</v>
      </c>
      <c r="K21" s="19">
        <v>10</v>
      </c>
      <c r="L21" s="19">
        <v>3666131</v>
      </c>
    </row>
    <row r="22" spans="1:12">
      <c r="A22" s="15">
        <v>18</v>
      </c>
      <c r="B22" s="15" t="s">
        <v>27</v>
      </c>
      <c r="C22" s="15" t="s">
        <v>109</v>
      </c>
      <c r="D22" s="15" t="s">
        <v>109</v>
      </c>
      <c r="E22" s="15" t="s">
        <v>110</v>
      </c>
      <c r="F22" s="26" t="s">
        <v>113</v>
      </c>
      <c r="G22" s="26" t="s">
        <v>114</v>
      </c>
      <c r="H22" s="26" t="s">
        <v>48</v>
      </c>
      <c r="I22" s="28" t="s">
        <v>72</v>
      </c>
      <c r="J22" s="16">
        <v>25000</v>
      </c>
      <c r="K22" s="16">
        <v>0</v>
      </c>
      <c r="L22" s="16">
        <v>3641131</v>
      </c>
    </row>
    <row r="23" spans="1:12">
      <c r="A23" s="18">
        <v>19</v>
      </c>
      <c r="B23" s="18" t="s">
        <v>28</v>
      </c>
      <c r="C23" s="18" t="s">
        <v>115</v>
      </c>
      <c r="D23" s="18" t="s">
        <v>115</v>
      </c>
      <c r="E23" s="18" t="s">
        <v>116</v>
      </c>
      <c r="F23" s="8" t="s">
        <v>77</v>
      </c>
      <c r="G23" s="8" t="s">
        <v>117</v>
      </c>
      <c r="H23" s="8" t="s">
        <v>40</v>
      </c>
      <c r="I23" s="27" t="s">
        <v>67</v>
      </c>
      <c r="J23" s="19">
        <v>0</v>
      </c>
      <c r="K23" s="19">
        <v>23000000</v>
      </c>
      <c r="L23" s="19">
        <v>26641131</v>
      </c>
    </row>
    <row r="24" spans="1:12">
      <c r="A24" s="15">
        <v>20</v>
      </c>
      <c r="B24" s="15" t="s">
        <v>28</v>
      </c>
      <c r="C24" s="15" t="s">
        <v>118</v>
      </c>
      <c r="D24" s="15" t="s">
        <v>118</v>
      </c>
      <c r="E24" s="15" t="s">
        <v>119</v>
      </c>
      <c r="F24" s="26" t="s">
        <v>70</v>
      </c>
      <c r="G24" s="26" t="s">
        <v>120</v>
      </c>
      <c r="H24" s="26" t="s">
        <v>41</v>
      </c>
      <c r="I24" s="28" t="s">
        <v>72</v>
      </c>
      <c r="J24" s="16">
        <v>23466520</v>
      </c>
      <c r="K24" s="16">
        <v>0</v>
      </c>
      <c r="L24" s="16">
        <v>3174611</v>
      </c>
    </row>
    <row r="25" spans="1:12">
      <c r="A25" s="18">
        <v>21</v>
      </c>
      <c r="B25" s="18" t="s">
        <v>28</v>
      </c>
      <c r="C25" s="18" t="s">
        <v>121</v>
      </c>
      <c r="D25" s="18" t="s">
        <v>121</v>
      </c>
      <c r="E25" s="18" t="s">
        <v>122</v>
      </c>
      <c r="F25" s="8" t="s">
        <v>70</v>
      </c>
      <c r="G25" s="8" t="s">
        <v>123</v>
      </c>
      <c r="H25" s="8" t="s">
        <v>40</v>
      </c>
      <c r="I25" s="29" t="s">
        <v>72</v>
      </c>
      <c r="J25" s="19">
        <v>3000000</v>
      </c>
      <c r="K25" s="19">
        <v>0</v>
      </c>
      <c r="L25" s="19">
        <v>174611</v>
      </c>
    </row>
    <row r="26" spans="1:12">
      <c r="A26" s="15">
        <v>22</v>
      </c>
      <c r="B26" s="15" t="s">
        <v>28</v>
      </c>
      <c r="C26" s="15" t="s">
        <v>124</v>
      </c>
      <c r="D26" s="15" t="s">
        <v>124</v>
      </c>
      <c r="E26" s="15" t="s">
        <v>125</v>
      </c>
      <c r="F26" s="26" t="s">
        <v>77</v>
      </c>
      <c r="G26" s="26" t="s">
        <v>126</v>
      </c>
      <c r="H26" s="26" t="s">
        <v>40</v>
      </c>
      <c r="I26" s="30" t="s">
        <v>67</v>
      </c>
      <c r="J26" s="16">
        <v>0</v>
      </c>
      <c r="K26" s="16">
        <v>5000000</v>
      </c>
      <c r="L26" s="16">
        <v>5174611</v>
      </c>
    </row>
    <row r="27" spans="1:12">
      <c r="A27" s="18">
        <v>23</v>
      </c>
      <c r="B27" s="18" t="s">
        <v>28</v>
      </c>
      <c r="C27" s="18" t="s">
        <v>127</v>
      </c>
      <c r="D27" s="18" t="s">
        <v>127</v>
      </c>
      <c r="E27" s="18" t="s">
        <v>128</v>
      </c>
      <c r="F27" s="8" t="s">
        <v>65</v>
      </c>
      <c r="G27" s="8" t="s">
        <v>66</v>
      </c>
      <c r="H27" s="8" t="s">
        <v>40</v>
      </c>
      <c r="I27" s="27" t="s">
        <v>67</v>
      </c>
      <c r="J27" s="19">
        <v>0</v>
      </c>
      <c r="K27" s="19">
        <v>1000000</v>
      </c>
      <c r="L27" s="19">
        <v>6174611</v>
      </c>
    </row>
    <row r="28" spans="1:12">
      <c r="A28" s="15">
        <v>24</v>
      </c>
      <c r="B28" s="15" t="s">
        <v>28</v>
      </c>
      <c r="C28" s="15" t="s">
        <v>129</v>
      </c>
      <c r="D28" s="15" t="s">
        <v>129</v>
      </c>
      <c r="E28" s="15" t="s">
        <v>130</v>
      </c>
      <c r="F28" s="26" t="s">
        <v>70</v>
      </c>
      <c r="G28" s="26" t="s">
        <v>85</v>
      </c>
      <c r="H28" s="26" t="s">
        <v>43</v>
      </c>
      <c r="I28" s="28" t="s">
        <v>72</v>
      </c>
      <c r="J28" s="16">
        <v>1336446</v>
      </c>
      <c r="K28" s="16">
        <v>0</v>
      </c>
      <c r="L28" s="16">
        <v>4838165</v>
      </c>
    </row>
    <row r="29" spans="1:12">
      <c r="A29" s="18">
        <v>25</v>
      </c>
      <c r="B29" s="18" t="s">
        <v>28</v>
      </c>
      <c r="C29" s="18" t="s">
        <v>131</v>
      </c>
      <c r="D29" s="18" t="s">
        <v>131</v>
      </c>
      <c r="E29" s="18" t="s">
        <v>132</v>
      </c>
      <c r="F29" s="8" t="s">
        <v>107</v>
      </c>
      <c r="G29" s="8" t="s">
        <v>133</v>
      </c>
      <c r="H29" s="8" t="s">
        <v>42</v>
      </c>
      <c r="I29" s="29" t="s">
        <v>72</v>
      </c>
      <c r="J29" s="19">
        <v>3804623</v>
      </c>
      <c r="K29" s="19">
        <v>0</v>
      </c>
      <c r="L29" s="19">
        <v>1033542</v>
      </c>
    </row>
    <row r="30" spans="1:12">
      <c r="A30" s="15">
        <v>26</v>
      </c>
      <c r="B30" s="15" t="s">
        <v>28</v>
      </c>
      <c r="C30" s="15" t="s">
        <v>134</v>
      </c>
      <c r="D30" s="15" t="s">
        <v>134</v>
      </c>
      <c r="E30" s="15" t="s">
        <v>135</v>
      </c>
      <c r="F30" s="26" t="s">
        <v>136</v>
      </c>
      <c r="G30" s="26" t="s">
        <v>137</v>
      </c>
      <c r="H30" s="26" t="s">
        <v>40</v>
      </c>
      <c r="I30" s="30" t="s">
        <v>67</v>
      </c>
      <c r="J30" s="16">
        <v>0</v>
      </c>
      <c r="K30" s="16">
        <v>3000000</v>
      </c>
      <c r="L30" s="16">
        <v>4033542</v>
      </c>
    </row>
    <row r="31" spans="1:12">
      <c r="A31" s="18">
        <v>27</v>
      </c>
      <c r="B31" s="18" t="s">
        <v>28</v>
      </c>
      <c r="C31" s="18" t="s">
        <v>138</v>
      </c>
      <c r="D31" s="18" t="s">
        <v>138</v>
      </c>
      <c r="E31" s="18" t="s">
        <v>139</v>
      </c>
      <c r="F31" s="8" t="s">
        <v>70</v>
      </c>
      <c r="G31" s="8" t="s">
        <v>140</v>
      </c>
      <c r="H31" s="8" t="s">
        <v>41</v>
      </c>
      <c r="I31" s="29" t="s">
        <v>72</v>
      </c>
      <c r="J31" s="19">
        <v>2900000</v>
      </c>
      <c r="K31" s="19">
        <v>0</v>
      </c>
      <c r="L31" s="19">
        <v>1133542</v>
      </c>
    </row>
    <row r="32" spans="1:12">
      <c r="A32" s="15">
        <v>28</v>
      </c>
      <c r="B32" s="15" t="s">
        <v>28</v>
      </c>
      <c r="C32" s="15" t="s">
        <v>141</v>
      </c>
      <c r="D32" s="15" t="s">
        <v>141</v>
      </c>
      <c r="E32" s="15" t="s">
        <v>142</v>
      </c>
      <c r="F32" s="26" t="s">
        <v>65</v>
      </c>
      <c r="G32" s="26" t="s">
        <v>143</v>
      </c>
      <c r="H32" s="26" t="s">
        <v>40</v>
      </c>
      <c r="I32" s="30" t="s">
        <v>67</v>
      </c>
      <c r="J32" s="16">
        <v>0</v>
      </c>
      <c r="K32" s="16">
        <v>50000</v>
      </c>
      <c r="L32" s="16">
        <v>1183542</v>
      </c>
    </row>
    <row r="33" spans="1:12">
      <c r="A33" s="18">
        <v>29</v>
      </c>
      <c r="B33" s="18" t="s">
        <v>28</v>
      </c>
      <c r="C33" s="18" t="s">
        <v>144</v>
      </c>
      <c r="D33" s="18" t="s">
        <v>144</v>
      </c>
      <c r="E33" s="18" t="s">
        <v>145</v>
      </c>
      <c r="F33" s="8" t="s">
        <v>113</v>
      </c>
      <c r="G33" s="8" t="s">
        <v>112</v>
      </c>
      <c r="H33" s="8" t="s">
        <v>47</v>
      </c>
      <c r="I33" s="27" t="s">
        <v>67</v>
      </c>
      <c r="J33" s="19">
        <v>0</v>
      </c>
      <c r="K33" s="19">
        <v>296</v>
      </c>
      <c r="L33" s="19">
        <v>1183838</v>
      </c>
    </row>
    <row r="34" spans="1:12">
      <c r="A34" s="15">
        <v>30</v>
      </c>
      <c r="B34" s="15" t="s">
        <v>28</v>
      </c>
      <c r="C34" s="15" t="s">
        <v>146</v>
      </c>
      <c r="D34" s="15" t="s">
        <v>146</v>
      </c>
      <c r="E34" s="15" t="s">
        <v>145</v>
      </c>
      <c r="F34" s="26" t="s">
        <v>113</v>
      </c>
      <c r="G34" s="26" t="s">
        <v>114</v>
      </c>
      <c r="H34" s="26" t="s">
        <v>48</v>
      </c>
      <c r="I34" s="28" t="s">
        <v>72</v>
      </c>
      <c r="J34" s="16">
        <v>25000</v>
      </c>
      <c r="K34" s="16">
        <v>0</v>
      </c>
      <c r="L34" s="16">
        <v>1158838</v>
      </c>
    </row>
    <row r="35" spans="1:12">
      <c r="A35" s="18">
        <v>31</v>
      </c>
      <c r="B35" s="18" t="s">
        <v>29</v>
      </c>
      <c r="C35" s="18" t="s">
        <v>147</v>
      </c>
      <c r="D35" s="18" t="s">
        <v>147</v>
      </c>
      <c r="E35" s="18" t="s">
        <v>148</v>
      </c>
      <c r="F35" s="8" t="s">
        <v>65</v>
      </c>
      <c r="G35" s="8" t="s">
        <v>88</v>
      </c>
      <c r="H35" s="8" t="s">
        <v>45</v>
      </c>
      <c r="I35" s="27" t="s">
        <v>67</v>
      </c>
      <c r="J35" s="19">
        <v>0</v>
      </c>
      <c r="K35" s="19">
        <v>8100000</v>
      </c>
      <c r="L35" s="19">
        <v>9258838</v>
      </c>
    </row>
    <row r="36" spans="1:12">
      <c r="A36" s="15">
        <v>32</v>
      </c>
      <c r="B36" s="15" t="s">
        <v>29</v>
      </c>
      <c r="C36" s="15" t="s">
        <v>149</v>
      </c>
      <c r="D36" s="15" t="s">
        <v>149</v>
      </c>
      <c r="E36" s="15" t="s">
        <v>150</v>
      </c>
      <c r="F36" s="26" t="s">
        <v>70</v>
      </c>
      <c r="G36" s="26" t="s">
        <v>151</v>
      </c>
      <c r="H36" s="26" t="s">
        <v>41</v>
      </c>
      <c r="I36" s="28" t="s">
        <v>72</v>
      </c>
      <c r="J36" s="16">
        <v>2900000</v>
      </c>
      <c r="K36" s="16">
        <v>0</v>
      </c>
      <c r="L36" s="16">
        <v>6358838</v>
      </c>
    </row>
    <row r="37" spans="1:12">
      <c r="A37" s="18">
        <v>33</v>
      </c>
      <c r="B37" s="18" t="s">
        <v>29</v>
      </c>
      <c r="C37" s="18" t="s">
        <v>152</v>
      </c>
      <c r="D37" s="18" t="s">
        <v>152</v>
      </c>
      <c r="E37" s="18" t="s">
        <v>153</v>
      </c>
      <c r="F37" s="8" t="s">
        <v>70</v>
      </c>
      <c r="G37" s="8" t="s">
        <v>154</v>
      </c>
      <c r="H37" s="8" t="s">
        <v>42</v>
      </c>
      <c r="I37" s="29" t="s">
        <v>72</v>
      </c>
      <c r="J37" s="19">
        <v>3804623</v>
      </c>
      <c r="K37" s="19">
        <v>0</v>
      </c>
      <c r="L37" s="19">
        <v>2554215</v>
      </c>
    </row>
    <row r="38" spans="1:12">
      <c r="A38" s="15">
        <v>34</v>
      </c>
      <c r="B38" s="15" t="s">
        <v>29</v>
      </c>
      <c r="C38" s="15" t="s">
        <v>155</v>
      </c>
      <c r="D38" s="15" t="s">
        <v>155</v>
      </c>
      <c r="E38" s="15" t="s">
        <v>156</v>
      </c>
      <c r="F38" s="26" t="s">
        <v>70</v>
      </c>
      <c r="G38" s="26" t="s">
        <v>85</v>
      </c>
      <c r="H38" s="26" t="s">
        <v>43</v>
      </c>
      <c r="I38" s="28" t="s">
        <v>72</v>
      </c>
      <c r="J38" s="16">
        <v>1381976</v>
      </c>
      <c r="K38" s="16">
        <v>0</v>
      </c>
      <c r="L38" s="16">
        <v>1172239</v>
      </c>
    </row>
    <row r="39" spans="1:12">
      <c r="A39" s="18">
        <v>35</v>
      </c>
      <c r="B39" s="18" t="s">
        <v>29</v>
      </c>
      <c r="C39" s="18" t="s">
        <v>157</v>
      </c>
      <c r="D39" s="18" t="s">
        <v>157</v>
      </c>
      <c r="E39" s="18" t="s">
        <v>158</v>
      </c>
      <c r="F39" s="8" t="s">
        <v>65</v>
      </c>
      <c r="G39" s="8" t="s">
        <v>88</v>
      </c>
      <c r="H39" s="8" t="s">
        <v>45</v>
      </c>
      <c r="I39" s="27" t="s">
        <v>67</v>
      </c>
      <c r="J39" s="19">
        <v>0</v>
      </c>
      <c r="K39" s="19">
        <v>133726880</v>
      </c>
      <c r="L39" s="19">
        <v>134899119</v>
      </c>
    </row>
    <row r="40" spans="1:12">
      <c r="A40" s="15">
        <v>36</v>
      </c>
      <c r="B40" s="15" t="s">
        <v>29</v>
      </c>
      <c r="C40" s="15" t="s">
        <v>159</v>
      </c>
      <c r="D40" s="15" t="s">
        <v>159</v>
      </c>
      <c r="E40" s="15" t="s">
        <v>160</v>
      </c>
      <c r="F40" s="26" t="s">
        <v>65</v>
      </c>
      <c r="G40" s="26" t="s">
        <v>161</v>
      </c>
      <c r="H40" s="26" t="s">
        <v>45</v>
      </c>
      <c r="I40" s="30" t="s">
        <v>67</v>
      </c>
      <c r="J40" s="16">
        <v>0</v>
      </c>
      <c r="K40" s="16">
        <v>225000</v>
      </c>
      <c r="L40" s="16">
        <v>135124119</v>
      </c>
    </row>
    <row r="41" spans="1:12">
      <c r="A41" s="18">
        <v>37</v>
      </c>
      <c r="B41" s="18" t="s">
        <v>29</v>
      </c>
      <c r="C41" s="18" t="s">
        <v>162</v>
      </c>
      <c r="D41" s="18" t="s">
        <v>162</v>
      </c>
      <c r="E41" s="18" t="s">
        <v>163</v>
      </c>
      <c r="F41" s="8" t="s">
        <v>113</v>
      </c>
      <c r="G41" s="8" t="s">
        <v>164</v>
      </c>
      <c r="H41" s="8" t="s">
        <v>47</v>
      </c>
      <c r="I41" s="27" t="s">
        <v>67</v>
      </c>
      <c r="J41" s="19">
        <v>0</v>
      </c>
      <c r="K41" s="19">
        <v>17750</v>
      </c>
      <c r="L41" s="19">
        <v>135141869</v>
      </c>
    </row>
    <row r="42" spans="1:12">
      <c r="A42" s="15">
        <v>38</v>
      </c>
      <c r="B42" s="15" t="s">
        <v>29</v>
      </c>
      <c r="C42" s="15" t="s">
        <v>162</v>
      </c>
      <c r="D42" s="15" t="s">
        <v>162</v>
      </c>
      <c r="E42" s="15" t="s">
        <v>163</v>
      </c>
      <c r="F42" s="26" t="s">
        <v>113</v>
      </c>
      <c r="G42" s="26" t="s">
        <v>165</v>
      </c>
      <c r="H42" s="26" t="s">
        <v>49</v>
      </c>
      <c r="I42" s="28" t="s">
        <v>72</v>
      </c>
      <c r="J42" s="16">
        <v>3550</v>
      </c>
      <c r="K42" s="16">
        <v>0</v>
      </c>
      <c r="L42" s="16">
        <v>135138319</v>
      </c>
    </row>
    <row r="43" spans="1:12">
      <c r="A43" s="18">
        <v>39</v>
      </c>
      <c r="B43" s="18" t="s">
        <v>29</v>
      </c>
      <c r="C43" s="18" t="s">
        <v>166</v>
      </c>
      <c r="D43" s="18" t="s">
        <v>166</v>
      </c>
      <c r="E43" s="18" t="s">
        <v>163</v>
      </c>
      <c r="F43" s="8" t="s">
        <v>113</v>
      </c>
      <c r="G43" s="8" t="s">
        <v>114</v>
      </c>
      <c r="H43" s="8" t="s">
        <v>48</v>
      </c>
      <c r="I43" s="29" t="s">
        <v>72</v>
      </c>
      <c r="J43" s="19">
        <v>25000</v>
      </c>
      <c r="K43" s="19">
        <v>0</v>
      </c>
      <c r="L43" s="19">
        <v>135113319</v>
      </c>
    </row>
    <row r="44" spans="1:12">
      <c r="A44" s="15">
        <v>40</v>
      </c>
      <c r="B44" s="15" t="s">
        <v>30</v>
      </c>
      <c r="C44" s="15" t="s">
        <v>167</v>
      </c>
      <c r="D44" s="15" t="s">
        <v>167</v>
      </c>
      <c r="E44" s="15" t="s">
        <v>168</v>
      </c>
      <c r="F44" s="26" t="s">
        <v>70</v>
      </c>
      <c r="G44" s="26" t="s">
        <v>169</v>
      </c>
      <c r="H44" s="26" t="s">
        <v>40</v>
      </c>
      <c r="I44" s="28" t="s">
        <v>72</v>
      </c>
      <c r="J44" s="16">
        <v>20000000</v>
      </c>
      <c r="K44" s="16">
        <v>0</v>
      </c>
      <c r="L44" s="16">
        <v>115113319</v>
      </c>
    </row>
    <row r="45" spans="1:12">
      <c r="A45" s="18">
        <v>41</v>
      </c>
      <c r="B45" s="18" t="s">
        <v>30</v>
      </c>
      <c r="C45" s="18" t="s">
        <v>170</v>
      </c>
      <c r="D45" s="18" t="s">
        <v>170</v>
      </c>
      <c r="E45" s="18" t="s">
        <v>168</v>
      </c>
      <c r="F45" s="8" t="s">
        <v>70</v>
      </c>
      <c r="G45" s="8" t="s">
        <v>171</v>
      </c>
      <c r="H45" s="8" t="s">
        <v>45</v>
      </c>
      <c r="I45" s="29" t="s">
        <v>72</v>
      </c>
      <c r="J45" s="19">
        <v>2500</v>
      </c>
      <c r="K45" s="19">
        <v>0</v>
      </c>
      <c r="L45" s="19">
        <v>115110819</v>
      </c>
    </row>
    <row r="46" spans="1:12">
      <c r="A46" s="15">
        <v>42</v>
      </c>
      <c r="B46" s="15" t="s">
        <v>30</v>
      </c>
      <c r="C46" s="15" t="s">
        <v>172</v>
      </c>
      <c r="D46" s="15" t="s">
        <v>172</v>
      </c>
      <c r="E46" s="15" t="s">
        <v>173</v>
      </c>
      <c r="F46" s="26" t="s">
        <v>77</v>
      </c>
      <c r="G46" s="26" t="s">
        <v>174</v>
      </c>
      <c r="H46" s="26" t="s">
        <v>40</v>
      </c>
      <c r="I46" s="30" t="s">
        <v>67</v>
      </c>
      <c r="J46" s="16">
        <v>0</v>
      </c>
      <c r="K46" s="16">
        <v>20000000</v>
      </c>
      <c r="L46" s="16">
        <v>135110819</v>
      </c>
    </row>
    <row r="47" spans="1:12">
      <c r="A47" s="18">
        <v>43</v>
      </c>
      <c r="B47" s="18" t="s">
        <v>30</v>
      </c>
      <c r="C47" s="18" t="s">
        <v>175</v>
      </c>
      <c r="D47" s="18" t="s">
        <v>175</v>
      </c>
      <c r="E47" s="18" t="s">
        <v>176</v>
      </c>
      <c r="F47" s="8" t="s">
        <v>65</v>
      </c>
      <c r="G47" s="8" t="s">
        <v>88</v>
      </c>
      <c r="H47" s="8" t="s">
        <v>45</v>
      </c>
      <c r="I47" s="27" t="s">
        <v>67</v>
      </c>
      <c r="J47" s="19">
        <v>0</v>
      </c>
      <c r="K47" s="19">
        <v>237047200</v>
      </c>
      <c r="L47" s="19">
        <v>372158019</v>
      </c>
    </row>
    <row r="48" spans="1:12">
      <c r="A48" s="15">
        <v>44</v>
      </c>
      <c r="B48" s="15" t="s">
        <v>30</v>
      </c>
      <c r="C48" s="15" t="s">
        <v>177</v>
      </c>
      <c r="D48" s="15" t="s">
        <v>177</v>
      </c>
      <c r="E48" s="15" t="s">
        <v>178</v>
      </c>
      <c r="F48" s="26" t="s">
        <v>70</v>
      </c>
      <c r="G48" s="26" t="s">
        <v>179</v>
      </c>
      <c r="H48" s="26" t="s">
        <v>41</v>
      </c>
      <c r="I48" s="28" t="s">
        <v>72</v>
      </c>
      <c r="J48" s="16">
        <v>2900000</v>
      </c>
      <c r="K48" s="16">
        <v>0</v>
      </c>
      <c r="L48" s="16">
        <v>369258019</v>
      </c>
    </row>
    <row r="49" spans="1:12">
      <c r="A49" s="18">
        <v>45</v>
      </c>
      <c r="B49" s="18" t="s">
        <v>30</v>
      </c>
      <c r="C49" s="18" t="s">
        <v>180</v>
      </c>
      <c r="D49" s="18" t="s">
        <v>180</v>
      </c>
      <c r="E49" s="18" t="s">
        <v>181</v>
      </c>
      <c r="F49" s="8" t="s">
        <v>70</v>
      </c>
      <c r="G49" s="8" t="s">
        <v>182</v>
      </c>
      <c r="H49" s="8" t="s">
        <v>40</v>
      </c>
      <c r="I49" s="29" t="s">
        <v>72</v>
      </c>
      <c r="J49" s="19">
        <v>132500000</v>
      </c>
      <c r="K49" s="19">
        <v>0</v>
      </c>
      <c r="L49" s="19">
        <v>236758019</v>
      </c>
    </row>
    <row r="50" spans="1:12">
      <c r="A50" s="15">
        <v>46</v>
      </c>
      <c r="B50" s="15" t="s">
        <v>30</v>
      </c>
      <c r="C50" s="15" t="s">
        <v>183</v>
      </c>
      <c r="D50" s="15" t="s">
        <v>183</v>
      </c>
      <c r="E50" s="15" t="s">
        <v>181</v>
      </c>
      <c r="F50" s="26" t="s">
        <v>107</v>
      </c>
      <c r="G50" s="26" t="s">
        <v>171</v>
      </c>
      <c r="H50" s="26" t="s">
        <v>45</v>
      </c>
      <c r="I50" s="28" t="s">
        <v>72</v>
      </c>
      <c r="J50" s="16">
        <v>2500</v>
      </c>
      <c r="K50" s="16">
        <v>0</v>
      </c>
      <c r="L50" s="16">
        <v>236755519</v>
      </c>
    </row>
    <row r="51" spans="1:12">
      <c r="A51" s="18">
        <v>47</v>
      </c>
      <c r="B51" s="18" t="s">
        <v>30</v>
      </c>
      <c r="C51" s="18" t="s">
        <v>184</v>
      </c>
      <c r="D51" s="18" t="s">
        <v>184</v>
      </c>
      <c r="E51" s="18" t="s">
        <v>185</v>
      </c>
      <c r="F51" s="8" t="s">
        <v>186</v>
      </c>
      <c r="G51" s="8" t="s">
        <v>187</v>
      </c>
      <c r="H51" s="8" t="s">
        <v>46</v>
      </c>
      <c r="I51" s="27" t="s">
        <v>67</v>
      </c>
      <c r="J51" s="19">
        <v>0</v>
      </c>
      <c r="K51" s="19">
        <v>132500000</v>
      </c>
      <c r="L51" s="19">
        <v>369255519</v>
      </c>
    </row>
    <row r="52" spans="1:12">
      <c r="A52" s="15">
        <v>48</v>
      </c>
      <c r="B52" s="15" t="s">
        <v>30</v>
      </c>
      <c r="C52" s="15" t="s">
        <v>188</v>
      </c>
      <c r="D52" s="15" t="s">
        <v>188</v>
      </c>
      <c r="E52" s="15" t="s">
        <v>189</v>
      </c>
      <c r="F52" s="26" t="s">
        <v>70</v>
      </c>
      <c r="G52" s="26" t="s">
        <v>190</v>
      </c>
      <c r="H52" s="26" t="s">
        <v>41</v>
      </c>
      <c r="I52" s="28" t="s">
        <v>72</v>
      </c>
      <c r="J52" s="16">
        <v>7300</v>
      </c>
      <c r="K52" s="16">
        <v>0</v>
      </c>
      <c r="L52" s="16">
        <v>369248219</v>
      </c>
    </row>
    <row r="53" spans="1:12">
      <c r="A53" s="18">
        <v>49</v>
      </c>
      <c r="B53" s="18" t="s">
        <v>30</v>
      </c>
      <c r="C53" s="18" t="s">
        <v>191</v>
      </c>
      <c r="D53" s="18" t="s">
        <v>191</v>
      </c>
      <c r="E53" s="18" t="s">
        <v>192</v>
      </c>
      <c r="F53" s="8" t="s">
        <v>70</v>
      </c>
      <c r="G53" s="8" t="s">
        <v>193</v>
      </c>
      <c r="H53" s="8" t="s">
        <v>41</v>
      </c>
      <c r="I53" s="29" t="s">
        <v>72</v>
      </c>
      <c r="J53" s="19">
        <v>6160</v>
      </c>
      <c r="K53" s="19">
        <v>0</v>
      </c>
      <c r="L53" s="19">
        <v>369242059</v>
      </c>
    </row>
    <row r="54" spans="1:12">
      <c r="A54" s="15">
        <v>50</v>
      </c>
      <c r="B54" s="15" t="s">
        <v>30</v>
      </c>
      <c r="C54" s="15" t="s">
        <v>194</v>
      </c>
      <c r="D54" s="15" t="s">
        <v>194</v>
      </c>
      <c r="E54" s="15" t="s">
        <v>195</v>
      </c>
      <c r="F54" s="26" t="s">
        <v>70</v>
      </c>
      <c r="G54" s="26" t="s">
        <v>196</v>
      </c>
      <c r="H54" s="26" t="s">
        <v>41</v>
      </c>
      <c r="I54" s="28" t="s">
        <v>72</v>
      </c>
      <c r="J54" s="16">
        <v>8800</v>
      </c>
      <c r="K54" s="16">
        <v>0</v>
      </c>
      <c r="L54" s="16">
        <v>369233259</v>
      </c>
    </row>
    <row r="55" spans="1:12">
      <c r="A55" s="18">
        <v>51</v>
      </c>
      <c r="B55" s="18" t="s">
        <v>30</v>
      </c>
      <c r="C55" s="18" t="s">
        <v>197</v>
      </c>
      <c r="D55" s="18" t="s">
        <v>197</v>
      </c>
      <c r="E55" s="18" t="s">
        <v>198</v>
      </c>
      <c r="F55" s="8" t="s">
        <v>70</v>
      </c>
      <c r="G55" s="8" t="s">
        <v>199</v>
      </c>
      <c r="H55" s="8" t="s">
        <v>40</v>
      </c>
      <c r="I55" s="29" t="s">
        <v>72</v>
      </c>
      <c r="J55" s="19">
        <v>5000000</v>
      </c>
      <c r="K55" s="19">
        <v>0</v>
      </c>
      <c r="L55" s="19">
        <v>364233259</v>
      </c>
    </row>
    <row r="56" spans="1:12">
      <c r="A56" s="15">
        <v>52</v>
      </c>
      <c r="B56" s="15" t="s">
        <v>30</v>
      </c>
      <c r="C56" s="15" t="s">
        <v>200</v>
      </c>
      <c r="D56" s="15" t="s">
        <v>200</v>
      </c>
      <c r="E56" s="15" t="s">
        <v>198</v>
      </c>
      <c r="F56" s="26" t="s">
        <v>107</v>
      </c>
      <c r="G56" s="26" t="s">
        <v>171</v>
      </c>
      <c r="H56" s="26" t="s">
        <v>45</v>
      </c>
      <c r="I56" s="28" t="s">
        <v>72</v>
      </c>
      <c r="J56" s="16">
        <v>2500</v>
      </c>
      <c r="K56" s="16">
        <v>0</v>
      </c>
      <c r="L56" s="16">
        <v>364230759</v>
      </c>
    </row>
    <row r="57" spans="1:12">
      <c r="A57" s="18">
        <v>53</v>
      </c>
      <c r="B57" s="18" t="s">
        <v>30</v>
      </c>
      <c r="C57" s="18" t="s">
        <v>201</v>
      </c>
      <c r="D57" s="18" t="s">
        <v>201</v>
      </c>
      <c r="E57" s="18" t="s">
        <v>202</v>
      </c>
      <c r="F57" s="8" t="s">
        <v>203</v>
      </c>
      <c r="G57" s="8" t="s">
        <v>204</v>
      </c>
      <c r="H57" s="8" t="s">
        <v>50</v>
      </c>
      <c r="I57" s="27" t="s">
        <v>67</v>
      </c>
      <c r="J57" s="19">
        <v>0</v>
      </c>
      <c r="K57" s="19">
        <v>165000017</v>
      </c>
      <c r="L57" s="19">
        <v>529230776</v>
      </c>
    </row>
    <row r="58" spans="1:12">
      <c r="A58" s="15">
        <v>54</v>
      </c>
      <c r="B58" s="15" t="s">
        <v>30</v>
      </c>
      <c r="C58" s="15" t="s">
        <v>205</v>
      </c>
      <c r="D58" s="15" t="s">
        <v>205</v>
      </c>
      <c r="E58" s="15" t="s">
        <v>206</v>
      </c>
      <c r="F58" s="26" t="s">
        <v>207</v>
      </c>
      <c r="G58" s="26" t="s">
        <v>208</v>
      </c>
      <c r="H58" s="26" t="s">
        <v>40</v>
      </c>
      <c r="I58" s="28" t="s">
        <v>72</v>
      </c>
      <c r="J58" s="16">
        <v>28000000</v>
      </c>
      <c r="K58" s="16">
        <v>0</v>
      </c>
      <c r="L58" s="16">
        <v>501230776</v>
      </c>
    </row>
    <row r="59" spans="1:12">
      <c r="A59" s="18">
        <v>55</v>
      </c>
      <c r="B59" s="18" t="s">
        <v>30</v>
      </c>
      <c r="C59" s="18" t="s">
        <v>200</v>
      </c>
      <c r="D59" s="18" t="s">
        <v>200</v>
      </c>
      <c r="E59" s="18" t="s">
        <v>206</v>
      </c>
      <c r="F59" s="8" t="s">
        <v>209</v>
      </c>
      <c r="G59" s="8" t="s">
        <v>210</v>
      </c>
      <c r="H59" s="8" t="s">
        <v>45</v>
      </c>
      <c r="I59" s="29" t="s">
        <v>72</v>
      </c>
      <c r="J59" s="19">
        <v>2500</v>
      </c>
      <c r="K59" s="19">
        <v>0</v>
      </c>
      <c r="L59" s="19">
        <v>501228276</v>
      </c>
    </row>
    <row r="60" spans="1:12">
      <c r="A60" s="15">
        <v>56</v>
      </c>
      <c r="B60" s="15" t="s">
        <v>30</v>
      </c>
      <c r="C60" s="15" t="s">
        <v>211</v>
      </c>
      <c r="D60" s="15" t="s">
        <v>211</v>
      </c>
      <c r="E60" s="15" t="s">
        <v>212</v>
      </c>
      <c r="F60" s="26" t="s">
        <v>213</v>
      </c>
      <c r="G60" s="26" t="s">
        <v>182</v>
      </c>
      <c r="H60" s="26" t="s">
        <v>40</v>
      </c>
      <c r="I60" s="28" t="s">
        <v>72</v>
      </c>
      <c r="J60" s="16">
        <v>102000000</v>
      </c>
      <c r="K60" s="16">
        <v>0</v>
      </c>
      <c r="L60" s="16">
        <v>399228276</v>
      </c>
    </row>
    <row r="61" spans="1:12">
      <c r="A61" s="18">
        <v>57</v>
      </c>
      <c r="B61" s="18" t="s">
        <v>30</v>
      </c>
      <c r="C61" s="18" t="s">
        <v>214</v>
      </c>
      <c r="D61" s="18" t="s">
        <v>214</v>
      </c>
      <c r="E61" s="18" t="s">
        <v>212</v>
      </c>
      <c r="F61" s="8" t="s">
        <v>107</v>
      </c>
      <c r="G61" s="8" t="s">
        <v>171</v>
      </c>
      <c r="H61" s="8" t="s">
        <v>45</v>
      </c>
      <c r="I61" s="29" t="s">
        <v>72</v>
      </c>
      <c r="J61" s="19">
        <v>2500</v>
      </c>
      <c r="K61" s="19">
        <v>0</v>
      </c>
      <c r="L61" s="19">
        <v>399225776</v>
      </c>
    </row>
    <row r="62" spans="1:12">
      <c r="A62" s="15">
        <v>58</v>
      </c>
      <c r="B62" s="15" t="s">
        <v>30</v>
      </c>
      <c r="C62" s="15" t="s">
        <v>215</v>
      </c>
      <c r="D62" s="15" t="s">
        <v>215</v>
      </c>
      <c r="E62" s="15" t="s">
        <v>216</v>
      </c>
      <c r="F62" s="26" t="s">
        <v>217</v>
      </c>
      <c r="G62" s="26" t="s">
        <v>218</v>
      </c>
      <c r="H62" s="26" t="s">
        <v>50</v>
      </c>
      <c r="I62" s="28" t="s">
        <v>72</v>
      </c>
      <c r="J62" s="16">
        <v>150000000</v>
      </c>
      <c r="K62" s="16">
        <v>0</v>
      </c>
      <c r="L62" s="16">
        <v>249225776</v>
      </c>
    </row>
    <row r="63" spans="1:12">
      <c r="A63" s="18">
        <v>59</v>
      </c>
      <c r="B63" s="18" t="s">
        <v>30</v>
      </c>
      <c r="C63" s="18" t="s">
        <v>219</v>
      </c>
      <c r="D63" s="18" t="s">
        <v>219</v>
      </c>
      <c r="E63" s="18" t="s">
        <v>220</v>
      </c>
      <c r="F63" s="8" t="s">
        <v>207</v>
      </c>
      <c r="G63" s="8" t="s">
        <v>221</v>
      </c>
      <c r="H63" s="8" t="s">
        <v>41</v>
      </c>
      <c r="I63" s="29" t="s">
        <v>72</v>
      </c>
      <c r="J63" s="19">
        <v>206214409</v>
      </c>
      <c r="K63" s="19">
        <v>0</v>
      </c>
      <c r="L63" s="19">
        <v>43011367</v>
      </c>
    </row>
    <row r="64" spans="1:12">
      <c r="A64" s="15">
        <v>60</v>
      </c>
      <c r="B64" s="15" t="s">
        <v>30</v>
      </c>
      <c r="C64" s="15" t="s">
        <v>222</v>
      </c>
      <c r="D64" s="15" t="s">
        <v>222</v>
      </c>
      <c r="E64" s="15" t="s">
        <v>223</v>
      </c>
      <c r="F64" s="26" t="s">
        <v>111</v>
      </c>
      <c r="G64" s="26" t="s">
        <v>112</v>
      </c>
      <c r="H64" s="26" t="s">
        <v>47</v>
      </c>
      <c r="I64" s="30" t="s">
        <v>67</v>
      </c>
      <c r="J64" s="16">
        <v>0</v>
      </c>
      <c r="K64" s="16">
        <v>231321</v>
      </c>
      <c r="L64" s="16">
        <v>43242688</v>
      </c>
    </row>
    <row r="65" spans="1:12">
      <c r="A65" s="18">
        <v>61</v>
      </c>
      <c r="B65" s="18" t="s">
        <v>30</v>
      </c>
      <c r="C65" s="18" t="s">
        <v>222</v>
      </c>
      <c r="D65" s="18" t="s">
        <v>222</v>
      </c>
      <c r="E65" s="18" t="s">
        <v>223</v>
      </c>
      <c r="F65" s="8" t="s">
        <v>113</v>
      </c>
      <c r="G65" s="8" t="s">
        <v>165</v>
      </c>
      <c r="H65" s="8" t="s">
        <v>49</v>
      </c>
      <c r="I65" s="29" t="s">
        <v>72</v>
      </c>
      <c r="J65" s="19">
        <v>46265</v>
      </c>
      <c r="K65" s="19">
        <v>0</v>
      </c>
      <c r="L65" s="19">
        <v>43196423</v>
      </c>
    </row>
    <row r="66" spans="1:12">
      <c r="A66" s="15">
        <v>62</v>
      </c>
      <c r="B66" s="15" t="s">
        <v>30</v>
      </c>
      <c r="C66" s="15" t="s">
        <v>222</v>
      </c>
      <c r="D66" s="15" t="s">
        <v>222</v>
      </c>
      <c r="E66" s="15" t="s">
        <v>223</v>
      </c>
      <c r="F66" s="26" t="s">
        <v>113</v>
      </c>
      <c r="G66" s="26" t="s">
        <v>114</v>
      </c>
      <c r="H66" s="26" t="s">
        <v>48</v>
      </c>
      <c r="I66" s="28" t="s">
        <v>72</v>
      </c>
      <c r="J66" s="16">
        <v>25000</v>
      </c>
      <c r="K66" s="16">
        <v>0</v>
      </c>
      <c r="L66" s="16">
        <v>43171423</v>
      </c>
    </row>
    <row r="67" spans="1:12">
      <c r="A67" s="18">
        <v>63</v>
      </c>
      <c r="B67" s="18" t="s">
        <v>31</v>
      </c>
      <c r="C67" s="18" t="s">
        <v>224</v>
      </c>
      <c r="D67" s="18" t="s">
        <v>224</v>
      </c>
      <c r="E67" s="18" t="s">
        <v>225</v>
      </c>
      <c r="F67" s="8" t="s">
        <v>65</v>
      </c>
      <c r="G67" s="8" t="s">
        <v>88</v>
      </c>
      <c r="H67" s="8" t="s">
        <v>45</v>
      </c>
      <c r="I67" s="27" t="s">
        <v>67</v>
      </c>
      <c r="J67" s="19">
        <v>0</v>
      </c>
      <c r="K67" s="19">
        <v>233988000</v>
      </c>
      <c r="L67" s="19">
        <v>277159423</v>
      </c>
    </row>
    <row r="68" spans="1:12">
      <c r="A68" s="15">
        <v>64</v>
      </c>
      <c r="B68" s="15" t="s">
        <v>31</v>
      </c>
      <c r="C68" s="15" t="s">
        <v>226</v>
      </c>
      <c r="D68" s="15" t="s">
        <v>226</v>
      </c>
      <c r="E68" s="15" t="s">
        <v>227</v>
      </c>
      <c r="F68" s="26" t="s">
        <v>65</v>
      </c>
      <c r="G68" s="26" t="s">
        <v>88</v>
      </c>
      <c r="H68" s="26" t="s">
        <v>45</v>
      </c>
      <c r="I68" s="30" t="s">
        <v>67</v>
      </c>
      <c r="J68" s="16">
        <v>0</v>
      </c>
      <c r="K68" s="16">
        <v>13350000</v>
      </c>
      <c r="L68" s="16">
        <v>290509423</v>
      </c>
    </row>
    <row r="69" spans="1:12">
      <c r="A69" s="18">
        <v>65</v>
      </c>
      <c r="B69" s="18" t="s">
        <v>31</v>
      </c>
      <c r="C69" s="18" t="s">
        <v>228</v>
      </c>
      <c r="D69" s="18" t="s">
        <v>228</v>
      </c>
      <c r="E69" s="18" t="s">
        <v>229</v>
      </c>
      <c r="F69" s="8" t="s">
        <v>70</v>
      </c>
      <c r="G69" s="8" t="s">
        <v>230</v>
      </c>
      <c r="H69" s="8" t="s">
        <v>41</v>
      </c>
      <c r="I69" s="29" t="s">
        <v>72</v>
      </c>
      <c r="J69" s="19">
        <v>4700000</v>
      </c>
      <c r="K69" s="19">
        <v>0</v>
      </c>
      <c r="L69" s="19">
        <v>285809423</v>
      </c>
    </row>
    <row r="70" spans="1:12">
      <c r="A70" s="15">
        <v>66</v>
      </c>
      <c r="B70" s="15" t="s">
        <v>31</v>
      </c>
      <c r="C70" s="15" t="s">
        <v>231</v>
      </c>
      <c r="D70" s="15" t="s">
        <v>231</v>
      </c>
      <c r="E70" s="15" t="s">
        <v>232</v>
      </c>
      <c r="F70" s="26" t="s">
        <v>70</v>
      </c>
      <c r="G70" s="26" t="s">
        <v>233</v>
      </c>
      <c r="H70" s="26" t="s">
        <v>42</v>
      </c>
      <c r="I70" s="28" t="s">
        <v>72</v>
      </c>
      <c r="J70" s="16">
        <v>7213041</v>
      </c>
      <c r="K70" s="16">
        <v>0</v>
      </c>
      <c r="L70" s="16">
        <v>278596382</v>
      </c>
    </row>
    <row r="71" spans="1:12">
      <c r="A71" s="18">
        <v>67</v>
      </c>
      <c r="B71" s="18" t="s">
        <v>31</v>
      </c>
      <c r="C71" s="18" t="s">
        <v>234</v>
      </c>
      <c r="D71" s="18" t="s">
        <v>234</v>
      </c>
      <c r="E71" s="18" t="s">
        <v>235</v>
      </c>
      <c r="F71" s="8" t="s">
        <v>70</v>
      </c>
      <c r="G71" s="8" t="s">
        <v>236</v>
      </c>
      <c r="H71" s="8" t="s">
        <v>41</v>
      </c>
      <c r="I71" s="29" t="s">
        <v>72</v>
      </c>
      <c r="J71" s="19">
        <v>14701125</v>
      </c>
      <c r="K71" s="19">
        <v>0</v>
      </c>
      <c r="L71" s="19">
        <v>263895257</v>
      </c>
    </row>
    <row r="72" spans="1:12">
      <c r="A72" s="15">
        <v>68</v>
      </c>
      <c r="B72" s="15" t="s">
        <v>31</v>
      </c>
      <c r="C72" s="15" t="s">
        <v>234</v>
      </c>
      <c r="D72" s="15" t="s">
        <v>234</v>
      </c>
      <c r="E72" s="15" t="s">
        <v>237</v>
      </c>
      <c r="F72" s="26" t="s">
        <v>70</v>
      </c>
      <c r="G72" s="26" t="s">
        <v>238</v>
      </c>
      <c r="H72" s="26" t="s">
        <v>43</v>
      </c>
      <c r="I72" s="28" t="s">
        <v>72</v>
      </c>
      <c r="J72" s="16">
        <v>1381976</v>
      </c>
      <c r="K72" s="16">
        <v>0</v>
      </c>
      <c r="L72" s="16">
        <v>262513281</v>
      </c>
    </row>
    <row r="73" spans="1:12">
      <c r="A73" s="18">
        <v>69</v>
      </c>
      <c r="B73" s="18" t="s">
        <v>31</v>
      </c>
      <c r="C73" s="18" t="s">
        <v>239</v>
      </c>
      <c r="D73" s="18" t="s">
        <v>239</v>
      </c>
      <c r="E73" s="18" t="s">
        <v>240</v>
      </c>
      <c r="F73" s="8" t="s">
        <v>70</v>
      </c>
      <c r="G73" s="8" t="s">
        <v>241</v>
      </c>
      <c r="H73" s="8" t="s">
        <v>41</v>
      </c>
      <c r="I73" s="29" t="s">
        <v>72</v>
      </c>
      <c r="J73" s="19">
        <v>4760</v>
      </c>
      <c r="K73" s="19">
        <v>0</v>
      </c>
      <c r="L73" s="19">
        <v>262508521</v>
      </c>
    </row>
    <row r="74" spans="1:12">
      <c r="A74" s="15">
        <v>70</v>
      </c>
      <c r="B74" s="15" t="s">
        <v>31</v>
      </c>
      <c r="C74" s="15" t="s">
        <v>242</v>
      </c>
      <c r="D74" s="15" t="s">
        <v>242</v>
      </c>
      <c r="E74" s="15" t="s">
        <v>243</v>
      </c>
      <c r="F74" s="26" t="s">
        <v>244</v>
      </c>
      <c r="G74" s="26" t="s">
        <v>245</v>
      </c>
      <c r="H74" s="26" t="s">
        <v>50</v>
      </c>
      <c r="I74" s="30" t="s">
        <v>67</v>
      </c>
      <c r="J74" s="16">
        <v>0</v>
      </c>
      <c r="K74" s="16">
        <v>38653300</v>
      </c>
      <c r="L74" s="16">
        <v>301161821</v>
      </c>
    </row>
    <row r="75" spans="1:12">
      <c r="A75" s="18">
        <v>71</v>
      </c>
      <c r="B75" s="18" t="s">
        <v>31</v>
      </c>
      <c r="C75" s="18" t="s">
        <v>246</v>
      </c>
      <c r="D75" s="18" t="s">
        <v>246</v>
      </c>
      <c r="E75" s="18" t="s">
        <v>247</v>
      </c>
      <c r="F75" s="8" t="s">
        <v>84</v>
      </c>
      <c r="G75" s="8" t="s">
        <v>169</v>
      </c>
      <c r="H75" s="8" t="s">
        <v>40</v>
      </c>
      <c r="I75" s="29" t="s">
        <v>72</v>
      </c>
      <c r="J75" s="19">
        <v>38000000</v>
      </c>
      <c r="K75" s="19">
        <v>0</v>
      </c>
      <c r="L75" s="19">
        <v>263161821</v>
      </c>
    </row>
    <row r="76" spans="1:12">
      <c r="A76" s="15">
        <v>72</v>
      </c>
      <c r="B76" s="15" t="s">
        <v>31</v>
      </c>
      <c r="C76" s="15" t="s">
        <v>248</v>
      </c>
      <c r="D76" s="15" t="s">
        <v>248</v>
      </c>
      <c r="E76" s="15" t="s">
        <v>247</v>
      </c>
      <c r="F76" s="26" t="s">
        <v>70</v>
      </c>
      <c r="G76" s="26" t="s">
        <v>171</v>
      </c>
      <c r="H76" s="26" t="s">
        <v>45</v>
      </c>
      <c r="I76" s="28" t="s">
        <v>72</v>
      </c>
      <c r="J76" s="16">
        <v>2500</v>
      </c>
      <c r="K76" s="16">
        <v>0</v>
      </c>
      <c r="L76" s="16">
        <v>263159321</v>
      </c>
    </row>
    <row r="77" spans="1:12">
      <c r="A77" s="18">
        <v>73</v>
      </c>
      <c r="B77" s="18" t="s">
        <v>31</v>
      </c>
      <c r="C77" s="18" t="s">
        <v>249</v>
      </c>
      <c r="D77" s="18" t="s">
        <v>249</v>
      </c>
      <c r="E77" s="18" t="s">
        <v>250</v>
      </c>
      <c r="F77" s="8" t="s">
        <v>70</v>
      </c>
      <c r="G77" s="8" t="s">
        <v>251</v>
      </c>
      <c r="H77" s="8" t="s">
        <v>41</v>
      </c>
      <c r="I77" s="29" t="s">
        <v>72</v>
      </c>
      <c r="J77" s="19">
        <v>7656472</v>
      </c>
      <c r="K77" s="19">
        <v>0</v>
      </c>
      <c r="L77" s="19">
        <v>255502849</v>
      </c>
    </row>
    <row r="78" spans="1:12">
      <c r="A78" s="15">
        <v>74</v>
      </c>
      <c r="B78" s="15" t="s">
        <v>31</v>
      </c>
      <c r="C78" s="15" t="s">
        <v>252</v>
      </c>
      <c r="D78" s="15" t="s">
        <v>252</v>
      </c>
      <c r="E78" s="15" t="s">
        <v>253</v>
      </c>
      <c r="F78" s="26" t="s">
        <v>70</v>
      </c>
      <c r="G78" s="26" t="s">
        <v>254</v>
      </c>
      <c r="H78" s="26" t="s">
        <v>41</v>
      </c>
      <c r="I78" s="28" t="s">
        <v>72</v>
      </c>
      <c r="J78" s="16">
        <v>80000</v>
      </c>
      <c r="K78" s="16">
        <v>0</v>
      </c>
      <c r="L78" s="16">
        <v>255422849</v>
      </c>
    </row>
    <row r="79" spans="1:12">
      <c r="A79" s="18">
        <v>75</v>
      </c>
      <c r="B79" s="18" t="s">
        <v>31</v>
      </c>
      <c r="C79" s="18" t="s">
        <v>255</v>
      </c>
      <c r="D79" s="18" t="s">
        <v>255</v>
      </c>
      <c r="E79" s="18" t="s">
        <v>256</v>
      </c>
      <c r="F79" s="8" t="s">
        <v>65</v>
      </c>
      <c r="G79" s="8" t="s">
        <v>88</v>
      </c>
      <c r="H79" s="8" t="s">
        <v>45</v>
      </c>
      <c r="I79" s="27" t="s">
        <v>67</v>
      </c>
      <c r="J79" s="19">
        <v>0</v>
      </c>
      <c r="K79" s="19">
        <v>228660000</v>
      </c>
      <c r="L79" s="19">
        <v>484082849</v>
      </c>
    </row>
    <row r="80" spans="1:12">
      <c r="A80" s="15">
        <v>76</v>
      </c>
      <c r="B80" s="15" t="s">
        <v>31</v>
      </c>
      <c r="C80" s="15" t="s">
        <v>257</v>
      </c>
      <c r="D80" s="15" t="s">
        <v>257</v>
      </c>
      <c r="E80" s="15" t="s">
        <v>258</v>
      </c>
      <c r="F80" s="26" t="s">
        <v>107</v>
      </c>
      <c r="G80" s="26" t="s">
        <v>259</v>
      </c>
      <c r="H80" s="26" t="s">
        <v>41</v>
      </c>
      <c r="I80" s="28" t="s">
        <v>72</v>
      </c>
      <c r="J80" s="16">
        <v>278708617</v>
      </c>
      <c r="K80" s="16">
        <v>0</v>
      </c>
      <c r="L80" s="16">
        <v>205374232</v>
      </c>
    </row>
    <row r="81" spans="1:12">
      <c r="A81" s="18">
        <v>77</v>
      </c>
      <c r="B81" s="18" t="s">
        <v>31</v>
      </c>
      <c r="C81" s="18" t="s">
        <v>260</v>
      </c>
      <c r="D81" s="18" t="s">
        <v>260</v>
      </c>
      <c r="E81" s="18" t="s">
        <v>261</v>
      </c>
      <c r="F81" s="8" t="s">
        <v>262</v>
      </c>
      <c r="G81" s="8" t="s">
        <v>263</v>
      </c>
      <c r="H81" s="8" t="s">
        <v>41</v>
      </c>
      <c r="I81" s="29" t="s">
        <v>72</v>
      </c>
      <c r="J81" s="19">
        <v>64000</v>
      </c>
      <c r="K81" s="19">
        <v>0</v>
      </c>
      <c r="L81" s="19">
        <v>205310232</v>
      </c>
    </row>
    <row r="82" spans="1:12">
      <c r="A82" s="15">
        <v>78</v>
      </c>
      <c r="B82" s="15" t="s">
        <v>31</v>
      </c>
      <c r="C82" s="15" t="s">
        <v>264</v>
      </c>
      <c r="D82" s="15" t="s">
        <v>264</v>
      </c>
      <c r="E82" s="15" t="s">
        <v>265</v>
      </c>
      <c r="F82" s="26" t="s">
        <v>266</v>
      </c>
      <c r="G82" s="26" t="s">
        <v>169</v>
      </c>
      <c r="H82" s="26" t="s">
        <v>40</v>
      </c>
      <c r="I82" s="28" t="s">
        <v>72</v>
      </c>
      <c r="J82" s="16">
        <v>148960000</v>
      </c>
      <c r="K82" s="16">
        <v>0</v>
      </c>
      <c r="L82" s="16">
        <v>56350232</v>
      </c>
    </row>
    <row r="83" spans="1:12">
      <c r="A83" s="18">
        <v>79</v>
      </c>
      <c r="B83" s="18" t="s">
        <v>31</v>
      </c>
      <c r="C83" s="18" t="s">
        <v>267</v>
      </c>
      <c r="D83" s="18" t="s">
        <v>267</v>
      </c>
      <c r="E83" s="18" t="s">
        <v>265</v>
      </c>
      <c r="F83" s="8" t="s">
        <v>70</v>
      </c>
      <c r="G83" s="8" t="s">
        <v>171</v>
      </c>
      <c r="H83" s="8" t="s">
        <v>45</v>
      </c>
      <c r="I83" s="29" t="s">
        <v>72</v>
      </c>
      <c r="J83" s="19">
        <v>2500</v>
      </c>
      <c r="K83" s="19">
        <v>0</v>
      </c>
      <c r="L83" s="19">
        <v>56347732</v>
      </c>
    </row>
    <row r="84" spans="1:12">
      <c r="A84" s="15">
        <v>80</v>
      </c>
      <c r="B84" s="15" t="s">
        <v>31</v>
      </c>
      <c r="C84" s="15" t="s">
        <v>268</v>
      </c>
      <c r="D84" s="15" t="s">
        <v>268</v>
      </c>
      <c r="E84" s="15" t="s">
        <v>269</v>
      </c>
      <c r="F84" s="26" t="s">
        <v>70</v>
      </c>
      <c r="G84" s="26" t="s">
        <v>182</v>
      </c>
      <c r="H84" s="26" t="s">
        <v>40</v>
      </c>
      <c r="I84" s="28" t="s">
        <v>72</v>
      </c>
      <c r="J84" s="16">
        <v>50000000</v>
      </c>
      <c r="K84" s="16">
        <v>0</v>
      </c>
      <c r="L84" s="16">
        <v>6347732</v>
      </c>
    </row>
    <row r="85" spans="1:12">
      <c r="A85" s="18">
        <v>81</v>
      </c>
      <c r="B85" s="18" t="s">
        <v>31</v>
      </c>
      <c r="C85" s="18" t="s">
        <v>270</v>
      </c>
      <c r="D85" s="18" t="s">
        <v>270</v>
      </c>
      <c r="E85" s="18" t="s">
        <v>269</v>
      </c>
      <c r="F85" s="8" t="s">
        <v>107</v>
      </c>
      <c r="G85" s="8" t="s">
        <v>171</v>
      </c>
      <c r="H85" s="8" t="s">
        <v>45</v>
      </c>
      <c r="I85" s="29" t="s">
        <v>72</v>
      </c>
      <c r="J85" s="19">
        <v>2500</v>
      </c>
      <c r="K85" s="19">
        <v>0</v>
      </c>
      <c r="L85" s="19">
        <v>6345232</v>
      </c>
    </row>
    <row r="86" spans="1:12">
      <c r="A86" s="15">
        <v>82</v>
      </c>
      <c r="B86" s="15" t="s">
        <v>31</v>
      </c>
      <c r="C86" s="15" t="s">
        <v>271</v>
      </c>
      <c r="D86" s="15" t="s">
        <v>271</v>
      </c>
      <c r="E86" s="15" t="s">
        <v>272</v>
      </c>
      <c r="F86" s="26" t="s">
        <v>111</v>
      </c>
      <c r="G86" s="26" t="s">
        <v>112</v>
      </c>
      <c r="H86" s="26" t="s">
        <v>47</v>
      </c>
      <c r="I86" s="30" t="s">
        <v>67</v>
      </c>
      <c r="J86" s="16">
        <v>0</v>
      </c>
      <c r="K86" s="16">
        <v>140452</v>
      </c>
      <c r="L86" s="16">
        <v>6485684</v>
      </c>
    </row>
    <row r="87" spans="1:12">
      <c r="A87" s="18">
        <v>83</v>
      </c>
      <c r="B87" s="18" t="s">
        <v>31</v>
      </c>
      <c r="C87" s="18" t="s">
        <v>271</v>
      </c>
      <c r="D87" s="18" t="s">
        <v>271</v>
      </c>
      <c r="E87" s="18" t="s">
        <v>272</v>
      </c>
      <c r="F87" s="8" t="s">
        <v>113</v>
      </c>
      <c r="G87" s="8" t="s">
        <v>165</v>
      </c>
      <c r="H87" s="8" t="s">
        <v>49</v>
      </c>
      <c r="I87" s="29" t="s">
        <v>72</v>
      </c>
      <c r="J87" s="19">
        <v>28091</v>
      </c>
      <c r="K87" s="19">
        <v>0</v>
      </c>
      <c r="L87" s="19">
        <v>6457593</v>
      </c>
    </row>
    <row r="88" spans="1:12">
      <c r="A88" s="15">
        <v>84</v>
      </c>
      <c r="B88" s="15" t="s">
        <v>31</v>
      </c>
      <c r="C88" s="15" t="s">
        <v>271</v>
      </c>
      <c r="D88" s="15" t="s">
        <v>271</v>
      </c>
      <c r="E88" s="15" t="s">
        <v>272</v>
      </c>
      <c r="F88" s="26" t="s">
        <v>113</v>
      </c>
      <c r="G88" s="26" t="s">
        <v>114</v>
      </c>
      <c r="H88" s="26" t="s">
        <v>48</v>
      </c>
      <c r="I88" s="28" t="s">
        <v>72</v>
      </c>
      <c r="J88" s="16">
        <v>25000</v>
      </c>
      <c r="K88" s="16">
        <v>0</v>
      </c>
      <c r="L88" s="16">
        <v>6432593</v>
      </c>
    </row>
    <row r="89" spans="1:12">
      <c r="A89" s="18">
        <v>85</v>
      </c>
      <c r="B89" s="18" t="s">
        <v>32</v>
      </c>
      <c r="C89" s="18" t="s">
        <v>273</v>
      </c>
      <c r="D89" s="18" t="s">
        <v>273</v>
      </c>
      <c r="E89" s="18" t="s">
        <v>274</v>
      </c>
      <c r="F89" s="8" t="s">
        <v>65</v>
      </c>
      <c r="G89" s="8" t="s">
        <v>275</v>
      </c>
      <c r="H89" s="8" t="s">
        <v>40</v>
      </c>
      <c r="I89" s="27" t="s">
        <v>67</v>
      </c>
      <c r="J89" s="19">
        <v>0</v>
      </c>
      <c r="K89" s="19">
        <v>100000000</v>
      </c>
      <c r="L89" s="19">
        <v>106432593</v>
      </c>
    </row>
    <row r="90" spans="1:12">
      <c r="A90" s="15">
        <v>86</v>
      </c>
      <c r="B90" s="15" t="s">
        <v>32</v>
      </c>
      <c r="C90" s="15" t="s">
        <v>276</v>
      </c>
      <c r="D90" s="15" t="s">
        <v>276</v>
      </c>
      <c r="E90" s="15" t="s">
        <v>277</v>
      </c>
      <c r="F90" s="26" t="s">
        <v>278</v>
      </c>
      <c r="G90" s="26" t="s">
        <v>275</v>
      </c>
      <c r="H90" s="26" t="s">
        <v>40</v>
      </c>
      <c r="I90" s="30" t="s">
        <v>67</v>
      </c>
      <c r="J90" s="16">
        <v>0</v>
      </c>
      <c r="K90" s="16">
        <v>100000000</v>
      </c>
      <c r="L90" s="16">
        <v>206432593</v>
      </c>
    </row>
    <row r="91" spans="1:12">
      <c r="A91" s="18">
        <v>87</v>
      </c>
      <c r="B91" s="18" t="s">
        <v>32</v>
      </c>
      <c r="C91" s="18" t="s">
        <v>279</v>
      </c>
      <c r="D91" s="18" t="s">
        <v>279</v>
      </c>
      <c r="E91" s="18" t="s">
        <v>280</v>
      </c>
      <c r="F91" s="8" t="s">
        <v>84</v>
      </c>
      <c r="G91" s="8" t="s">
        <v>182</v>
      </c>
      <c r="H91" s="8" t="s">
        <v>40</v>
      </c>
      <c r="I91" s="29" t="s">
        <v>72</v>
      </c>
      <c r="J91" s="19">
        <v>100000000</v>
      </c>
      <c r="K91" s="19">
        <v>0</v>
      </c>
      <c r="L91" s="19">
        <v>106432593</v>
      </c>
    </row>
    <row r="92" spans="1:12">
      <c r="A92" s="15">
        <v>88</v>
      </c>
      <c r="B92" s="15" t="s">
        <v>32</v>
      </c>
      <c r="C92" s="15" t="s">
        <v>281</v>
      </c>
      <c r="D92" s="15" t="s">
        <v>281</v>
      </c>
      <c r="E92" s="15" t="s">
        <v>280</v>
      </c>
      <c r="F92" s="26" t="s">
        <v>70</v>
      </c>
      <c r="G92" s="26" t="s">
        <v>171</v>
      </c>
      <c r="H92" s="26" t="s">
        <v>45</v>
      </c>
      <c r="I92" s="28" t="s">
        <v>72</v>
      </c>
      <c r="J92" s="16">
        <v>2500</v>
      </c>
      <c r="K92" s="16">
        <v>0</v>
      </c>
      <c r="L92" s="16">
        <v>106430093</v>
      </c>
    </row>
    <row r="93" spans="1:12">
      <c r="A93" s="18">
        <v>89</v>
      </c>
      <c r="B93" s="18" t="s">
        <v>32</v>
      </c>
      <c r="C93" s="18" t="s">
        <v>282</v>
      </c>
      <c r="D93" s="18" t="s">
        <v>282</v>
      </c>
      <c r="E93" s="18" t="s">
        <v>283</v>
      </c>
      <c r="F93" s="8" t="s">
        <v>70</v>
      </c>
      <c r="G93" s="8" t="s">
        <v>284</v>
      </c>
      <c r="H93" s="8" t="s">
        <v>40</v>
      </c>
      <c r="I93" s="29" t="s">
        <v>72</v>
      </c>
      <c r="J93" s="19">
        <v>100000000</v>
      </c>
      <c r="K93" s="19">
        <v>0</v>
      </c>
      <c r="L93" s="19">
        <v>6430093</v>
      </c>
    </row>
    <row r="94" spans="1:12">
      <c r="A94" s="15">
        <v>90</v>
      </c>
      <c r="B94" s="15" t="s">
        <v>32</v>
      </c>
      <c r="C94" s="15" t="s">
        <v>281</v>
      </c>
      <c r="D94" s="15" t="s">
        <v>281</v>
      </c>
      <c r="E94" s="15" t="s">
        <v>283</v>
      </c>
      <c r="F94" s="26" t="s">
        <v>70</v>
      </c>
      <c r="G94" s="26" t="s">
        <v>171</v>
      </c>
      <c r="H94" s="26" t="s">
        <v>45</v>
      </c>
      <c r="I94" s="28" t="s">
        <v>72</v>
      </c>
      <c r="J94" s="16">
        <v>2500</v>
      </c>
      <c r="K94" s="16">
        <v>0</v>
      </c>
      <c r="L94" s="16">
        <v>6427593</v>
      </c>
    </row>
    <row r="95" spans="1:12">
      <c r="A95" s="18">
        <v>91</v>
      </c>
      <c r="B95" s="18" t="s">
        <v>32</v>
      </c>
      <c r="C95" s="18" t="s">
        <v>285</v>
      </c>
      <c r="D95" s="18" t="s">
        <v>285</v>
      </c>
      <c r="E95" s="18" t="s">
        <v>286</v>
      </c>
      <c r="F95" s="8" t="s">
        <v>65</v>
      </c>
      <c r="G95" s="8" t="s">
        <v>66</v>
      </c>
      <c r="H95" s="8" t="s">
        <v>40</v>
      </c>
      <c r="I95" s="27" t="s">
        <v>67</v>
      </c>
      <c r="J95" s="19">
        <v>0</v>
      </c>
      <c r="K95" s="19">
        <v>19500000</v>
      </c>
      <c r="L95" s="19">
        <v>25927593</v>
      </c>
    </row>
    <row r="96" spans="1:12">
      <c r="A96" s="15">
        <v>92</v>
      </c>
      <c r="B96" s="15" t="s">
        <v>32</v>
      </c>
      <c r="C96" s="15" t="s">
        <v>287</v>
      </c>
      <c r="D96" s="15" t="s">
        <v>287</v>
      </c>
      <c r="E96" s="15" t="s">
        <v>288</v>
      </c>
      <c r="F96" s="26" t="s">
        <v>107</v>
      </c>
      <c r="G96" s="26" t="s">
        <v>289</v>
      </c>
      <c r="H96" s="26" t="s">
        <v>41</v>
      </c>
      <c r="I96" s="28" t="s">
        <v>72</v>
      </c>
      <c r="J96" s="16">
        <v>4700000</v>
      </c>
      <c r="K96" s="16">
        <v>0</v>
      </c>
      <c r="L96" s="16">
        <v>21227593</v>
      </c>
    </row>
    <row r="97" spans="1:12">
      <c r="A97" s="18">
        <v>93</v>
      </c>
      <c r="B97" s="18" t="s">
        <v>32</v>
      </c>
      <c r="C97" s="18" t="s">
        <v>290</v>
      </c>
      <c r="D97" s="18" t="s">
        <v>290</v>
      </c>
      <c r="E97" s="18" t="s">
        <v>291</v>
      </c>
      <c r="F97" s="8" t="s">
        <v>292</v>
      </c>
      <c r="G97" s="8" t="s">
        <v>293</v>
      </c>
      <c r="H97" s="8" t="s">
        <v>40</v>
      </c>
      <c r="I97" s="29" t="s">
        <v>72</v>
      </c>
      <c r="J97" s="19">
        <v>14701125</v>
      </c>
      <c r="K97" s="19">
        <v>0</v>
      </c>
      <c r="L97" s="19">
        <v>6526468</v>
      </c>
    </row>
    <row r="98" spans="1:12">
      <c r="A98" s="15">
        <v>94</v>
      </c>
      <c r="B98" s="15" t="s">
        <v>32</v>
      </c>
      <c r="C98" s="15" t="s">
        <v>294</v>
      </c>
      <c r="D98" s="15" t="s">
        <v>294</v>
      </c>
      <c r="E98" s="15" t="s">
        <v>295</v>
      </c>
      <c r="F98" s="26" t="s">
        <v>296</v>
      </c>
      <c r="G98" s="26" t="s">
        <v>297</v>
      </c>
      <c r="H98" s="26" t="s">
        <v>41</v>
      </c>
      <c r="I98" s="28" t="s">
        <v>72</v>
      </c>
      <c r="J98" s="16">
        <v>3408418</v>
      </c>
      <c r="K98" s="16">
        <v>0</v>
      </c>
      <c r="L98" s="16">
        <v>3118050</v>
      </c>
    </row>
    <row r="99" spans="1:12">
      <c r="A99" s="18">
        <v>95</v>
      </c>
      <c r="B99" s="18" t="s">
        <v>32</v>
      </c>
      <c r="C99" s="18" t="s">
        <v>298</v>
      </c>
      <c r="D99" s="18" t="s">
        <v>298</v>
      </c>
      <c r="E99" s="18" t="s">
        <v>299</v>
      </c>
      <c r="F99" s="8" t="s">
        <v>65</v>
      </c>
      <c r="G99" s="8" t="s">
        <v>66</v>
      </c>
      <c r="H99" s="8" t="s">
        <v>40</v>
      </c>
      <c r="I99" s="27" t="s">
        <v>67</v>
      </c>
      <c r="J99" s="19">
        <v>0</v>
      </c>
      <c r="K99" s="19">
        <v>10000000</v>
      </c>
      <c r="L99" s="19">
        <v>13118050</v>
      </c>
    </row>
    <row r="100" spans="1:12">
      <c r="A100" s="15">
        <v>96</v>
      </c>
      <c r="B100" s="15" t="s">
        <v>32</v>
      </c>
      <c r="C100" s="15" t="s">
        <v>300</v>
      </c>
      <c r="D100" s="15" t="s">
        <v>300</v>
      </c>
      <c r="E100" s="15" t="s">
        <v>301</v>
      </c>
      <c r="F100" s="26" t="s">
        <v>70</v>
      </c>
      <c r="G100" s="26" t="s">
        <v>302</v>
      </c>
      <c r="H100" s="26" t="s">
        <v>43</v>
      </c>
      <c r="I100" s="28" t="s">
        <v>72</v>
      </c>
      <c r="J100" s="16">
        <v>2763952</v>
      </c>
      <c r="K100" s="16">
        <v>0</v>
      </c>
      <c r="L100" s="16">
        <v>10354098</v>
      </c>
    </row>
    <row r="101" spans="1:12">
      <c r="A101" s="18">
        <v>97</v>
      </c>
      <c r="B101" s="18" t="s">
        <v>32</v>
      </c>
      <c r="C101" s="18" t="s">
        <v>303</v>
      </c>
      <c r="D101" s="18" t="s">
        <v>303</v>
      </c>
      <c r="E101" s="18" t="s">
        <v>304</v>
      </c>
      <c r="F101" s="8" t="s">
        <v>65</v>
      </c>
      <c r="G101" s="8" t="s">
        <v>88</v>
      </c>
      <c r="H101" s="8" t="s">
        <v>45</v>
      </c>
      <c r="I101" s="27" t="s">
        <v>67</v>
      </c>
      <c r="J101" s="19">
        <v>0</v>
      </c>
      <c r="K101" s="19">
        <v>229548000</v>
      </c>
      <c r="L101" s="19">
        <v>239902098</v>
      </c>
    </row>
    <row r="102" spans="1:12">
      <c r="A102" s="15">
        <v>98</v>
      </c>
      <c r="B102" s="15" t="s">
        <v>32</v>
      </c>
      <c r="C102" s="15" t="s">
        <v>305</v>
      </c>
      <c r="D102" s="15" t="s">
        <v>305</v>
      </c>
      <c r="E102" s="15" t="s">
        <v>306</v>
      </c>
      <c r="F102" s="26" t="s">
        <v>65</v>
      </c>
      <c r="G102" s="26" t="s">
        <v>307</v>
      </c>
      <c r="H102" s="26" t="s">
        <v>40</v>
      </c>
      <c r="I102" s="30" t="s">
        <v>67</v>
      </c>
      <c r="J102" s="16">
        <v>0</v>
      </c>
      <c r="K102" s="16">
        <v>26720858</v>
      </c>
      <c r="L102" s="16">
        <v>266622956</v>
      </c>
    </row>
    <row r="103" spans="1:12">
      <c r="A103" s="18">
        <v>99</v>
      </c>
      <c r="B103" s="18" t="s">
        <v>32</v>
      </c>
      <c r="C103" s="18" t="s">
        <v>308</v>
      </c>
      <c r="D103" s="18" t="s">
        <v>308</v>
      </c>
      <c r="E103" s="18" t="s">
        <v>309</v>
      </c>
      <c r="F103" s="8" t="s">
        <v>107</v>
      </c>
      <c r="G103" s="8" t="s">
        <v>310</v>
      </c>
      <c r="H103" s="8" t="s">
        <v>41</v>
      </c>
      <c r="I103" s="29" t="s">
        <v>72</v>
      </c>
      <c r="J103" s="19">
        <v>26720858</v>
      </c>
      <c r="K103" s="19">
        <v>0</v>
      </c>
      <c r="L103" s="19">
        <v>239902098</v>
      </c>
    </row>
    <row r="104" spans="1:12">
      <c r="A104" s="15">
        <v>100</v>
      </c>
      <c r="B104" s="15" t="s">
        <v>32</v>
      </c>
      <c r="C104" s="15" t="s">
        <v>311</v>
      </c>
      <c r="D104" s="15" t="s">
        <v>311</v>
      </c>
      <c r="E104" s="15" t="s">
        <v>312</v>
      </c>
      <c r="F104" s="26" t="s">
        <v>262</v>
      </c>
      <c r="G104" s="26" t="s">
        <v>313</v>
      </c>
      <c r="H104" s="26" t="s">
        <v>40</v>
      </c>
      <c r="I104" s="28" t="s">
        <v>72</v>
      </c>
      <c r="J104" s="16">
        <v>50000000</v>
      </c>
      <c r="K104" s="16">
        <v>0</v>
      </c>
      <c r="L104" s="16">
        <v>189902098</v>
      </c>
    </row>
    <row r="105" spans="1:12">
      <c r="A105" s="18">
        <v>101</v>
      </c>
      <c r="B105" s="18" t="s">
        <v>32</v>
      </c>
      <c r="C105" s="18" t="s">
        <v>314</v>
      </c>
      <c r="D105" s="18" t="s">
        <v>314</v>
      </c>
      <c r="E105" s="18" t="s">
        <v>312</v>
      </c>
      <c r="F105" s="8" t="s">
        <v>266</v>
      </c>
      <c r="G105" s="8" t="s">
        <v>315</v>
      </c>
      <c r="H105" s="8" t="s">
        <v>45</v>
      </c>
      <c r="I105" s="29" t="s">
        <v>72</v>
      </c>
      <c r="J105" s="19">
        <v>2500</v>
      </c>
      <c r="K105" s="19">
        <v>0</v>
      </c>
      <c r="L105" s="19">
        <v>189899598</v>
      </c>
    </row>
    <row r="106" spans="1:12">
      <c r="A106" s="15">
        <v>102</v>
      </c>
      <c r="B106" s="15" t="s">
        <v>32</v>
      </c>
      <c r="C106" s="15" t="s">
        <v>316</v>
      </c>
      <c r="D106" s="15" t="s">
        <v>316</v>
      </c>
      <c r="E106" s="15" t="s">
        <v>317</v>
      </c>
      <c r="F106" s="26" t="s">
        <v>70</v>
      </c>
      <c r="G106" s="26" t="s">
        <v>169</v>
      </c>
      <c r="H106" s="26" t="s">
        <v>40</v>
      </c>
      <c r="I106" s="28" t="s">
        <v>72</v>
      </c>
      <c r="J106" s="16">
        <v>50000000</v>
      </c>
      <c r="K106" s="16">
        <v>0</v>
      </c>
      <c r="L106" s="16">
        <v>139899598</v>
      </c>
    </row>
    <row r="107" spans="1:12">
      <c r="A107" s="18">
        <v>103</v>
      </c>
      <c r="B107" s="18" t="s">
        <v>32</v>
      </c>
      <c r="C107" s="18" t="s">
        <v>314</v>
      </c>
      <c r="D107" s="18" t="s">
        <v>314</v>
      </c>
      <c r="E107" s="18" t="s">
        <v>317</v>
      </c>
      <c r="F107" s="8" t="s">
        <v>70</v>
      </c>
      <c r="G107" s="8" t="s">
        <v>171</v>
      </c>
      <c r="H107" s="8" t="s">
        <v>45</v>
      </c>
      <c r="I107" s="29" t="s">
        <v>72</v>
      </c>
      <c r="J107" s="19">
        <v>2500</v>
      </c>
      <c r="K107" s="19">
        <v>0</v>
      </c>
      <c r="L107" s="19">
        <v>139897098</v>
      </c>
    </row>
    <row r="108" spans="1:12">
      <c r="A108" s="15">
        <v>104</v>
      </c>
      <c r="B108" s="15" t="s">
        <v>32</v>
      </c>
      <c r="C108" s="15" t="s">
        <v>318</v>
      </c>
      <c r="D108" s="15" t="s">
        <v>318</v>
      </c>
      <c r="E108" s="15" t="s">
        <v>319</v>
      </c>
      <c r="F108" s="26" t="s">
        <v>70</v>
      </c>
      <c r="G108" s="26" t="s">
        <v>169</v>
      </c>
      <c r="H108" s="26" t="s">
        <v>40</v>
      </c>
      <c r="I108" s="28" t="s">
        <v>72</v>
      </c>
      <c r="J108" s="16">
        <v>50000000</v>
      </c>
      <c r="K108" s="16">
        <v>0</v>
      </c>
      <c r="L108" s="16">
        <v>89897098</v>
      </c>
    </row>
    <row r="109" spans="1:12">
      <c r="A109" s="18">
        <v>105</v>
      </c>
      <c r="B109" s="18" t="s">
        <v>32</v>
      </c>
      <c r="C109" s="18" t="s">
        <v>314</v>
      </c>
      <c r="D109" s="18" t="s">
        <v>314</v>
      </c>
      <c r="E109" s="18" t="s">
        <v>319</v>
      </c>
      <c r="F109" s="8" t="s">
        <v>70</v>
      </c>
      <c r="G109" s="8" t="s">
        <v>171</v>
      </c>
      <c r="H109" s="8" t="s">
        <v>45</v>
      </c>
      <c r="I109" s="29" t="s">
        <v>72</v>
      </c>
      <c r="J109" s="19">
        <v>2500</v>
      </c>
      <c r="K109" s="19">
        <v>0</v>
      </c>
      <c r="L109" s="19">
        <v>89894598</v>
      </c>
    </row>
    <row r="110" spans="1:12">
      <c r="A110" s="15">
        <v>106</v>
      </c>
      <c r="B110" s="15" t="s">
        <v>32</v>
      </c>
      <c r="C110" s="15" t="s">
        <v>320</v>
      </c>
      <c r="D110" s="15" t="s">
        <v>320</v>
      </c>
      <c r="E110" s="15" t="s">
        <v>321</v>
      </c>
      <c r="F110" s="26" t="s">
        <v>107</v>
      </c>
      <c r="G110" s="26" t="s">
        <v>169</v>
      </c>
      <c r="H110" s="26" t="s">
        <v>40</v>
      </c>
      <c r="I110" s="28" t="s">
        <v>72</v>
      </c>
      <c r="J110" s="16">
        <v>50000000</v>
      </c>
      <c r="K110" s="16">
        <v>0</v>
      </c>
      <c r="L110" s="16">
        <v>39894598</v>
      </c>
    </row>
    <row r="111" spans="1:12">
      <c r="A111" s="18">
        <v>107</v>
      </c>
      <c r="B111" s="18" t="s">
        <v>32</v>
      </c>
      <c r="C111" s="18" t="s">
        <v>314</v>
      </c>
      <c r="D111" s="18" t="s">
        <v>314</v>
      </c>
      <c r="E111" s="18" t="s">
        <v>321</v>
      </c>
      <c r="F111" s="8" t="s">
        <v>262</v>
      </c>
      <c r="G111" s="8" t="s">
        <v>171</v>
      </c>
      <c r="H111" s="8" t="s">
        <v>45</v>
      </c>
      <c r="I111" s="29" t="s">
        <v>72</v>
      </c>
      <c r="J111" s="19">
        <v>2500</v>
      </c>
      <c r="K111" s="19">
        <v>0</v>
      </c>
      <c r="L111" s="19">
        <v>39892098</v>
      </c>
    </row>
    <row r="112" spans="1:12">
      <c r="A112" s="15">
        <v>108</v>
      </c>
      <c r="B112" s="15" t="s">
        <v>32</v>
      </c>
      <c r="C112" s="15" t="s">
        <v>322</v>
      </c>
      <c r="D112" s="15" t="s">
        <v>322</v>
      </c>
      <c r="E112" s="15" t="s">
        <v>323</v>
      </c>
      <c r="F112" s="26" t="s">
        <v>324</v>
      </c>
      <c r="G112" s="26" t="s">
        <v>88</v>
      </c>
      <c r="H112" s="26" t="s">
        <v>45</v>
      </c>
      <c r="I112" s="30" t="s">
        <v>67</v>
      </c>
      <c r="J112" s="16">
        <v>0</v>
      </c>
      <c r="K112" s="16">
        <v>91819200</v>
      </c>
      <c r="L112" s="16">
        <v>131711298</v>
      </c>
    </row>
    <row r="113" spans="1:12">
      <c r="A113" s="18">
        <v>109</v>
      </c>
      <c r="B113" s="18" t="s">
        <v>32</v>
      </c>
      <c r="C113" s="18" t="s">
        <v>325</v>
      </c>
      <c r="D113" s="18" t="s">
        <v>325</v>
      </c>
      <c r="E113" s="18" t="s">
        <v>326</v>
      </c>
      <c r="F113" s="8" t="s">
        <v>65</v>
      </c>
      <c r="G113" s="8" t="s">
        <v>88</v>
      </c>
      <c r="H113" s="8" t="s">
        <v>45</v>
      </c>
      <c r="I113" s="27" t="s">
        <v>67</v>
      </c>
      <c r="J113" s="19">
        <v>0</v>
      </c>
      <c r="K113" s="19">
        <v>5610000</v>
      </c>
      <c r="L113" s="19">
        <v>137321298</v>
      </c>
    </row>
    <row r="114" spans="1:12">
      <c r="A114" s="15">
        <v>110</v>
      </c>
      <c r="B114" s="15" t="s">
        <v>32</v>
      </c>
      <c r="C114" s="15" t="s">
        <v>327</v>
      </c>
      <c r="D114" s="15" t="s">
        <v>327</v>
      </c>
      <c r="E114" s="15" t="s">
        <v>328</v>
      </c>
      <c r="F114" s="26" t="s">
        <v>65</v>
      </c>
      <c r="G114" s="26" t="s">
        <v>88</v>
      </c>
      <c r="H114" s="26" t="s">
        <v>45</v>
      </c>
      <c r="I114" s="30" t="s">
        <v>67</v>
      </c>
      <c r="J114" s="16">
        <v>0</v>
      </c>
      <c r="K114" s="16">
        <v>100000000</v>
      </c>
      <c r="L114" s="16">
        <v>237321298</v>
      </c>
    </row>
    <row r="115" spans="1:12">
      <c r="A115" s="18">
        <v>111</v>
      </c>
      <c r="B115" s="18" t="s">
        <v>32</v>
      </c>
      <c r="C115" s="18" t="s">
        <v>329</v>
      </c>
      <c r="D115" s="18" t="s">
        <v>329</v>
      </c>
      <c r="E115" s="18" t="s">
        <v>330</v>
      </c>
      <c r="F115" s="8" t="s">
        <v>65</v>
      </c>
      <c r="G115" s="8" t="s">
        <v>88</v>
      </c>
      <c r="H115" s="8" t="s">
        <v>45</v>
      </c>
      <c r="I115" s="27" t="s">
        <v>67</v>
      </c>
      <c r="J115" s="19">
        <v>0</v>
      </c>
      <c r="K115" s="19">
        <v>100000000</v>
      </c>
      <c r="L115" s="19">
        <v>337321298</v>
      </c>
    </row>
    <row r="116" spans="1:12">
      <c r="A116" s="15">
        <v>112</v>
      </c>
      <c r="B116" s="15" t="s">
        <v>32</v>
      </c>
      <c r="C116" s="15" t="s">
        <v>331</v>
      </c>
      <c r="D116" s="15" t="s">
        <v>331</v>
      </c>
      <c r="E116" s="15" t="s">
        <v>332</v>
      </c>
      <c r="F116" s="26" t="s">
        <v>65</v>
      </c>
      <c r="G116" s="26" t="s">
        <v>88</v>
      </c>
      <c r="H116" s="26" t="s">
        <v>45</v>
      </c>
      <c r="I116" s="30" t="s">
        <v>67</v>
      </c>
      <c r="J116" s="16">
        <v>0</v>
      </c>
      <c r="K116" s="16">
        <v>20000000</v>
      </c>
      <c r="L116" s="16">
        <v>357321298</v>
      </c>
    </row>
    <row r="117" spans="1:12">
      <c r="A117" s="18">
        <v>113</v>
      </c>
      <c r="B117" s="18" t="s">
        <v>32</v>
      </c>
      <c r="C117" s="18" t="s">
        <v>333</v>
      </c>
      <c r="D117" s="18" t="s">
        <v>333</v>
      </c>
      <c r="E117" s="18" t="s">
        <v>334</v>
      </c>
      <c r="F117" s="8" t="s">
        <v>107</v>
      </c>
      <c r="G117" s="8" t="s">
        <v>335</v>
      </c>
      <c r="H117" s="8" t="s">
        <v>41</v>
      </c>
      <c r="I117" s="29" t="s">
        <v>72</v>
      </c>
      <c r="J117" s="19">
        <v>232916239</v>
      </c>
      <c r="K117" s="19">
        <v>0</v>
      </c>
      <c r="L117" s="19">
        <v>124405059</v>
      </c>
    </row>
    <row r="118" spans="1:12">
      <c r="A118" s="15">
        <v>114</v>
      </c>
      <c r="B118" s="15" t="s">
        <v>32</v>
      </c>
      <c r="C118" s="15" t="s">
        <v>336</v>
      </c>
      <c r="D118" s="15" t="s">
        <v>336</v>
      </c>
      <c r="E118" s="15" t="s">
        <v>337</v>
      </c>
      <c r="F118" s="26" t="s">
        <v>111</v>
      </c>
      <c r="G118" s="26" t="s">
        <v>112</v>
      </c>
      <c r="H118" s="26" t="s">
        <v>47</v>
      </c>
      <c r="I118" s="30" t="s">
        <v>67</v>
      </c>
      <c r="J118" s="16">
        <v>0</v>
      </c>
      <c r="K118" s="16">
        <v>50429</v>
      </c>
      <c r="L118" s="16">
        <v>124455488</v>
      </c>
    </row>
    <row r="119" spans="1:12">
      <c r="A119" s="18">
        <v>115</v>
      </c>
      <c r="B119" s="18" t="s">
        <v>32</v>
      </c>
      <c r="C119" s="18" t="s">
        <v>336</v>
      </c>
      <c r="D119" s="18" t="s">
        <v>336</v>
      </c>
      <c r="E119" s="18" t="s">
        <v>337</v>
      </c>
      <c r="F119" s="8" t="s">
        <v>77</v>
      </c>
      <c r="G119" s="8" t="s">
        <v>165</v>
      </c>
      <c r="H119" s="8" t="s">
        <v>49</v>
      </c>
      <c r="I119" s="29" t="s">
        <v>72</v>
      </c>
      <c r="J119" s="19">
        <v>10086</v>
      </c>
      <c r="K119" s="19">
        <v>0</v>
      </c>
      <c r="L119" s="19">
        <v>124445402</v>
      </c>
    </row>
    <row r="120" spans="1:12">
      <c r="A120" s="15">
        <v>116</v>
      </c>
      <c r="B120" s="15" t="s">
        <v>32</v>
      </c>
      <c r="C120" s="15" t="s">
        <v>338</v>
      </c>
      <c r="D120" s="15" t="s">
        <v>338</v>
      </c>
      <c r="E120" s="15" t="s">
        <v>337</v>
      </c>
      <c r="F120" s="26" t="s">
        <v>339</v>
      </c>
      <c r="G120" s="26" t="s">
        <v>114</v>
      </c>
      <c r="H120" s="26" t="s">
        <v>48</v>
      </c>
      <c r="I120" s="28" t="s">
        <v>72</v>
      </c>
      <c r="J120" s="16">
        <v>25000</v>
      </c>
      <c r="K120" s="16">
        <v>0</v>
      </c>
      <c r="L120" s="16">
        <v>124420402</v>
      </c>
    </row>
    <row r="121" spans="1:12">
      <c r="A121" s="18">
        <v>117</v>
      </c>
      <c r="B121" s="18" t="s">
        <v>33</v>
      </c>
      <c r="C121" s="18" t="s">
        <v>340</v>
      </c>
      <c r="D121" s="18" t="s">
        <v>340</v>
      </c>
      <c r="E121" s="18" t="s">
        <v>341</v>
      </c>
      <c r="F121" s="8" t="s">
        <v>77</v>
      </c>
      <c r="G121" s="8" t="s">
        <v>342</v>
      </c>
      <c r="H121" s="8" t="s">
        <v>40</v>
      </c>
      <c r="I121" s="27" t="s">
        <v>67</v>
      </c>
      <c r="J121" s="19">
        <v>0</v>
      </c>
      <c r="K121" s="19">
        <v>100000</v>
      </c>
      <c r="L121" s="19">
        <v>124520402</v>
      </c>
    </row>
    <row r="122" spans="1:12">
      <c r="A122" s="15">
        <v>118</v>
      </c>
      <c r="B122" s="15" t="s">
        <v>33</v>
      </c>
      <c r="C122" s="15" t="s">
        <v>343</v>
      </c>
      <c r="D122" s="15" t="s">
        <v>343</v>
      </c>
      <c r="E122" s="15" t="s">
        <v>344</v>
      </c>
      <c r="F122" s="26" t="s">
        <v>65</v>
      </c>
      <c r="G122" s="26" t="s">
        <v>88</v>
      </c>
      <c r="H122" s="26" t="s">
        <v>45</v>
      </c>
      <c r="I122" s="30" t="s">
        <v>67</v>
      </c>
      <c r="J122" s="16">
        <v>0</v>
      </c>
      <c r="K122" s="16">
        <v>147000000</v>
      </c>
      <c r="L122" s="16">
        <v>271520402</v>
      </c>
    </row>
    <row r="123" spans="1:12">
      <c r="A123" s="18">
        <v>119</v>
      </c>
      <c r="B123" s="18" t="s">
        <v>33</v>
      </c>
      <c r="C123" s="18" t="s">
        <v>345</v>
      </c>
      <c r="D123" s="18" t="s">
        <v>345</v>
      </c>
      <c r="E123" s="18" t="s">
        <v>346</v>
      </c>
      <c r="F123" s="8" t="s">
        <v>70</v>
      </c>
      <c r="G123" s="8" t="s">
        <v>347</v>
      </c>
      <c r="H123" s="8" t="s">
        <v>41</v>
      </c>
      <c r="I123" s="29" t="s">
        <v>72</v>
      </c>
      <c r="J123" s="19">
        <v>263945286</v>
      </c>
      <c r="K123" s="19">
        <v>0</v>
      </c>
      <c r="L123" s="19">
        <v>7575116</v>
      </c>
    </row>
    <row r="124" spans="1:12">
      <c r="A124" s="15">
        <v>120</v>
      </c>
      <c r="B124" s="15" t="s">
        <v>33</v>
      </c>
      <c r="C124" s="15" t="s">
        <v>348</v>
      </c>
      <c r="D124" s="15" t="s">
        <v>348</v>
      </c>
      <c r="E124" s="15" t="s">
        <v>349</v>
      </c>
      <c r="F124" s="26" t="s">
        <v>70</v>
      </c>
      <c r="G124" s="26" t="s">
        <v>350</v>
      </c>
      <c r="H124" s="26" t="s">
        <v>41</v>
      </c>
      <c r="I124" s="28" t="s">
        <v>72</v>
      </c>
      <c r="J124" s="16">
        <v>38600</v>
      </c>
      <c r="K124" s="16">
        <v>0</v>
      </c>
      <c r="L124" s="16">
        <v>7536516</v>
      </c>
    </row>
    <row r="125" spans="1:12">
      <c r="A125" s="18">
        <v>121</v>
      </c>
      <c r="B125" s="18" t="s">
        <v>33</v>
      </c>
      <c r="C125" s="18" t="s">
        <v>351</v>
      </c>
      <c r="D125" s="18" t="s">
        <v>351</v>
      </c>
      <c r="E125" s="18" t="s">
        <v>352</v>
      </c>
      <c r="F125" s="8" t="s">
        <v>70</v>
      </c>
      <c r="G125" s="8" t="s">
        <v>353</v>
      </c>
      <c r="H125" s="8" t="s">
        <v>41</v>
      </c>
      <c r="I125" s="29" t="s">
        <v>72</v>
      </c>
      <c r="J125" s="19">
        <v>4700000</v>
      </c>
      <c r="K125" s="19">
        <v>0</v>
      </c>
      <c r="L125" s="19">
        <v>2836516</v>
      </c>
    </row>
    <row r="126" spans="1:12">
      <c r="A126" s="15">
        <v>122</v>
      </c>
      <c r="B126" s="15" t="s">
        <v>33</v>
      </c>
      <c r="C126" s="15" t="s">
        <v>354</v>
      </c>
      <c r="D126" s="15" t="s">
        <v>354</v>
      </c>
      <c r="E126" s="15" t="s">
        <v>355</v>
      </c>
      <c r="F126" s="26" t="s">
        <v>70</v>
      </c>
      <c r="G126" s="26" t="s">
        <v>356</v>
      </c>
      <c r="H126" s="26" t="s">
        <v>43</v>
      </c>
      <c r="I126" s="28" t="s">
        <v>72</v>
      </c>
      <c r="J126" s="16">
        <v>1381976</v>
      </c>
      <c r="K126" s="16">
        <v>0</v>
      </c>
      <c r="L126" s="16">
        <v>1454540</v>
      </c>
    </row>
    <row r="127" spans="1:12">
      <c r="A127" s="18">
        <v>123</v>
      </c>
      <c r="B127" s="18" t="s">
        <v>33</v>
      </c>
      <c r="C127" s="18" t="s">
        <v>357</v>
      </c>
      <c r="D127" s="18" t="s">
        <v>357</v>
      </c>
      <c r="E127" s="18" t="s">
        <v>358</v>
      </c>
      <c r="F127" s="8" t="s">
        <v>65</v>
      </c>
      <c r="G127" s="8" t="s">
        <v>161</v>
      </c>
      <c r="H127" s="8" t="s">
        <v>45</v>
      </c>
      <c r="I127" s="27" t="s">
        <v>67</v>
      </c>
      <c r="J127" s="19">
        <v>0</v>
      </c>
      <c r="K127" s="19">
        <v>14800000</v>
      </c>
      <c r="L127" s="19">
        <v>16254540</v>
      </c>
    </row>
    <row r="128" spans="1:12">
      <c r="A128" s="15">
        <v>124</v>
      </c>
      <c r="B128" s="15" t="s">
        <v>33</v>
      </c>
      <c r="C128" s="15" t="s">
        <v>359</v>
      </c>
      <c r="D128" s="15" t="s">
        <v>359</v>
      </c>
      <c r="E128" s="15" t="s">
        <v>360</v>
      </c>
      <c r="F128" s="26" t="s">
        <v>361</v>
      </c>
      <c r="G128" s="26" t="s">
        <v>362</v>
      </c>
      <c r="H128" s="26" t="s">
        <v>40</v>
      </c>
      <c r="I128" s="28" t="s">
        <v>72</v>
      </c>
      <c r="J128" s="16">
        <v>14701125</v>
      </c>
      <c r="K128" s="16">
        <v>0</v>
      </c>
      <c r="L128" s="16">
        <v>1553415</v>
      </c>
    </row>
    <row r="129" spans="1:12">
      <c r="A129" s="18">
        <v>125</v>
      </c>
      <c r="B129" s="18" t="s">
        <v>33</v>
      </c>
      <c r="C129" s="18" t="s">
        <v>363</v>
      </c>
      <c r="D129" s="18" t="s">
        <v>363</v>
      </c>
      <c r="E129" s="18" t="s">
        <v>364</v>
      </c>
      <c r="F129" s="8" t="s">
        <v>365</v>
      </c>
      <c r="G129" s="8" t="s">
        <v>366</v>
      </c>
      <c r="H129" s="8" t="s">
        <v>41</v>
      </c>
      <c r="I129" s="29" t="s">
        <v>72</v>
      </c>
      <c r="J129" s="19">
        <v>13200</v>
      </c>
      <c r="K129" s="19">
        <v>0</v>
      </c>
      <c r="L129" s="19">
        <v>1540215</v>
      </c>
    </row>
    <row r="130" spans="1:12">
      <c r="A130" s="15">
        <v>126</v>
      </c>
      <c r="B130" s="15" t="s">
        <v>33</v>
      </c>
      <c r="C130" s="15" t="s">
        <v>367</v>
      </c>
      <c r="D130" s="15" t="s">
        <v>367</v>
      </c>
      <c r="E130" s="15" t="s">
        <v>368</v>
      </c>
      <c r="F130" s="26" t="s">
        <v>369</v>
      </c>
      <c r="G130" s="26" t="s">
        <v>370</v>
      </c>
      <c r="H130" s="26" t="s">
        <v>50</v>
      </c>
      <c r="I130" s="30" t="s">
        <v>67</v>
      </c>
      <c r="J130" s="16">
        <v>0</v>
      </c>
      <c r="K130" s="16">
        <v>131265844</v>
      </c>
      <c r="L130" s="16">
        <v>132806059</v>
      </c>
    </row>
    <row r="131" spans="1:12">
      <c r="A131" s="18">
        <v>127</v>
      </c>
      <c r="B131" s="18" t="s">
        <v>33</v>
      </c>
      <c r="C131" s="18" t="s">
        <v>371</v>
      </c>
      <c r="D131" s="18" t="s">
        <v>371</v>
      </c>
      <c r="E131" s="18" t="s">
        <v>372</v>
      </c>
      <c r="F131" s="8" t="s">
        <v>113</v>
      </c>
      <c r="G131" s="8" t="s">
        <v>112</v>
      </c>
      <c r="H131" s="8" t="s">
        <v>47</v>
      </c>
      <c r="I131" s="27" t="s">
        <v>67</v>
      </c>
      <c r="J131" s="19">
        <v>0</v>
      </c>
      <c r="K131" s="19">
        <v>53755</v>
      </c>
      <c r="L131" s="19">
        <v>132859814</v>
      </c>
    </row>
    <row r="132" spans="1:12">
      <c r="A132" s="15">
        <v>128</v>
      </c>
      <c r="B132" s="15" t="s">
        <v>33</v>
      </c>
      <c r="C132" s="15" t="s">
        <v>373</v>
      </c>
      <c r="D132" s="15" t="s">
        <v>373</v>
      </c>
      <c r="E132" s="15" t="s">
        <v>372</v>
      </c>
      <c r="F132" s="26" t="s">
        <v>113</v>
      </c>
      <c r="G132" s="26" t="s">
        <v>165</v>
      </c>
      <c r="H132" s="26" t="s">
        <v>49</v>
      </c>
      <c r="I132" s="28" t="s">
        <v>72</v>
      </c>
      <c r="J132" s="16">
        <v>10751</v>
      </c>
      <c r="K132" s="16">
        <v>0</v>
      </c>
      <c r="L132" s="16">
        <v>132849063</v>
      </c>
    </row>
    <row r="133" spans="1:12">
      <c r="A133" s="18">
        <v>129</v>
      </c>
      <c r="B133" s="18" t="s">
        <v>33</v>
      </c>
      <c r="C133" s="18" t="s">
        <v>371</v>
      </c>
      <c r="D133" s="18" t="s">
        <v>371</v>
      </c>
      <c r="E133" s="18" t="s">
        <v>372</v>
      </c>
      <c r="F133" s="8" t="s">
        <v>113</v>
      </c>
      <c r="G133" s="8" t="s">
        <v>114</v>
      </c>
      <c r="H133" s="8" t="s">
        <v>48</v>
      </c>
      <c r="I133" s="29" t="s">
        <v>72</v>
      </c>
      <c r="J133" s="19">
        <v>25000</v>
      </c>
      <c r="K133" s="19">
        <v>0</v>
      </c>
      <c r="L133" s="19">
        <v>132824063</v>
      </c>
    </row>
    <row r="134" spans="1:12">
      <c r="A134" s="21"/>
      <c r="B134" s="22" t="s">
        <v>374</v>
      </c>
      <c r="C134" s="21"/>
      <c r="D134" s="21"/>
      <c r="E134" s="21"/>
      <c r="F134" s="21"/>
      <c r="G134" s="21"/>
      <c r="H134" s="21"/>
      <c r="I134" s="21"/>
      <c r="J134" s="23">
        <f>SUM(J5:J133)</f>
        <v>2238150351</v>
      </c>
      <c r="K134" s="23">
        <f>SUM(K5:K133)</f>
        <v>2368658312</v>
      </c>
      <c r="L134" s="23">
        <v>132824063</v>
      </c>
    </row>
  </sheetData>
  <autoFilter ref="A4:L133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14" customWidth="1"/>
    <col min="2" max="2" width="23" customWidth="1"/>
    <col min="3" max="3" width="24" customWidth="1"/>
    <col min="4" max="4" width="14" customWidth="1"/>
    <col min="5" max="5" width="48" customWidth="1"/>
    <col min="6" max="6" width="60" customWidth="1"/>
    <col min="7" max="7" width="25" customWidth="1"/>
    <col min="8" max="8" width="12" customWidth="1"/>
    <col min="9" max="10" width="23" customWidth="1"/>
    <col min="11" max="11" width="20" customWidth="1"/>
  </cols>
  <sheetData>
    <row r="1" spans="1:11" ht="21">
      <c r="A1" s="45" t="s">
        <v>375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4" t="s">
        <v>376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4" spans="1:11">
      <c r="A4" s="31" t="s">
        <v>377</v>
      </c>
      <c r="C4" s="32" t="s">
        <v>378</v>
      </c>
      <c r="E4" s="33" t="s">
        <v>379</v>
      </c>
      <c r="G4" s="34" t="s">
        <v>380</v>
      </c>
    </row>
    <row r="5" spans="1:11" ht="18.75">
      <c r="A5" s="35">
        <v>2316102</v>
      </c>
      <c r="C5" s="36">
        <f>SUM(I8:I25)</f>
        <v>27174981</v>
      </c>
      <c r="E5" s="37">
        <f>SUM(J8:J25)</f>
        <v>28500010</v>
      </c>
      <c r="G5" s="38">
        <v>3641131</v>
      </c>
    </row>
    <row r="7" spans="1:11" ht="27.95" customHeight="1">
      <c r="A7" s="14" t="s">
        <v>19</v>
      </c>
      <c r="B7" s="14" t="s">
        <v>54</v>
      </c>
      <c r="C7" s="14" t="s">
        <v>55</v>
      </c>
      <c r="D7" s="14" t="s">
        <v>56</v>
      </c>
      <c r="E7" s="14" t="s">
        <v>57</v>
      </c>
      <c r="F7" s="14" t="s">
        <v>58</v>
      </c>
      <c r="G7" s="14" t="s">
        <v>59</v>
      </c>
      <c r="H7" s="14" t="s">
        <v>60</v>
      </c>
      <c r="I7" s="14" t="s">
        <v>61</v>
      </c>
      <c r="J7" s="14" t="s">
        <v>62</v>
      </c>
      <c r="K7" s="14" t="s">
        <v>25</v>
      </c>
    </row>
    <row r="8" spans="1:11">
      <c r="A8" s="15">
        <v>1</v>
      </c>
      <c r="B8" s="15" t="s">
        <v>63</v>
      </c>
      <c r="C8" s="15" t="s">
        <v>63</v>
      </c>
      <c r="D8" s="15" t="s">
        <v>64</v>
      </c>
      <c r="E8" s="26" t="s">
        <v>65</v>
      </c>
      <c r="F8" s="26" t="s">
        <v>66</v>
      </c>
      <c r="G8" s="26" t="s">
        <v>40</v>
      </c>
      <c r="H8" s="30" t="s">
        <v>67</v>
      </c>
      <c r="I8" s="16">
        <v>0</v>
      </c>
      <c r="J8" s="16">
        <v>5500000</v>
      </c>
      <c r="K8" s="16">
        <v>7816102</v>
      </c>
    </row>
    <row r="9" spans="1:11">
      <c r="A9" s="18">
        <v>2</v>
      </c>
      <c r="B9" s="18" t="s">
        <v>68</v>
      </c>
      <c r="C9" s="18" t="s">
        <v>68</v>
      </c>
      <c r="D9" s="18" t="s">
        <v>69</v>
      </c>
      <c r="E9" s="8" t="s">
        <v>70</v>
      </c>
      <c r="F9" s="8" t="s">
        <v>71</v>
      </c>
      <c r="G9" s="8" t="s">
        <v>41</v>
      </c>
      <c r="H9" s="29" t="s">
        <v>72</v>
      </c>
      <c r="I9" s="19">
        <v>13240</v>
      </c>
      <c r="J9" s="19">
        <v>0</v>
      </c>
      <c r="K9" s="19">
        <v>7802862</v>
      </c>
    </row>
    <row r="10" spans="1:11">
      <c r="A10" s="15">
        <v>3</v>
      </c>
      <c r="B10" s="15" t="s">
        <v>68</v>
      </c>
      <c r="C10" s="15" t="s">
        <v>68</v>
      </c>
      <c r="D10" s="15" t="s">
        <v>73</v>
      </c>
      <c r="E10" s="26" t="s">
        <v>70</v>
      </c>
      <c r="F10" s="26" t="s">
        <v>74</v>
      </c>
      <c r="G10" s="26" t="s">
        <v>42</v>
      </c>
      <c r="H10" s="28" t="s">
        <v>72</v>
      </c>
      <c r="I10" s="16">
        <v>3804623</v>
      </c>
      <c r="J10" s="16">
        <v>0</v>
      </c>
      <c r="K10" s="16">
        <v>3998239</v>
      </c>
    </row>
    <row r="11" spans="1:11">
      <c r="A11" s="18">
        <v>4</v>
      </c>
      <c r="B11" s="18" t="s">
        <v>75</v>
      </c>
      <c r="C11" s="18" t="s">
        <v>75</v>
      </c>
      <c r="D11" s="18" t="s">
        <v>76</v>
      </c>
      <c r="E11" s="8" t="s">
        <v>77</v>
      </c>
      <c r="F11" s="8" t="s">
        <v>78</v>
      </c>
      <c r="G11" s="8" t="s">
        <v>40</v>
      </c>
      <c r="H11" s="29" t="s">
        <v>72</v>
      </c>
      <c r="I11" s="19">
        <v>540000</v>
      </c>
      <c r="J11" s="19">
        <v>0</v>
      </c>
      <c r="K11" s="19">
        <v>3458239</v>
      </c>
    </row>
    <row r="12" spans="1:11">
      <c r="A12" s="15">
        <v>5</v>
      </c>
      <c r="B12" s="15" t="s">
        <v>79</v>
      </c>
      <c r="C12" s="15" t="s">
        <v>79</v>
      </c>
      <c r="D12" s="15" t="s">
        <v>76</v>
      </c>
      <c r="E12" s="26" t="s">
        <v>80</v>
      </c>
      <c r="F12" s="26" t="s">
        <v>81</v>
      </c>
      <c r="G12" s="26" t="s">
        <v>48</v>
      </c>
      <c r="H12" s="28" t="s">
        <v>72</v>
      </c>
      <c r="I12" s="16">
        <v>6500</v>
      </c>
      <c r="J12" s="16">
        <v>0</v>
      </c>
      <c r="K12" s="16">
        <v>3451739</v>
      </c>
    </row>
    <row r="13" spans="1:11">
      <c r="A13" s="18">
        <v>6</v>
      </c>
      <c r="B13" s="18" t="s">
        <v>82</v>
      </c>
      <c r="C13" s="18" t="s">
        <v>82</v>
      </c>
      <c r="D13" s="18" t="s">
        <v>83</v>
      </c>
      <c r="E13" s="8" t="s">
        <v>84</v>
      </c>
      <c r="F13" s="8" t="s">
        <v>85</v>
      </c>
      <c r="G13" s="8" t="s">
        <v>43</v>
      </c>
      <c r="H13" s="29" t="s">
        <v>72</v>
      </c>
      <c r="I13" s="19">
        <v>1250475</v>
      </c>
      <c r="J13" s="19">
        <v>0</v>
      </c>
      <c r="K13" s="19">
        <v>2201264</v>
      </c>
    </row>
    <row r="14" spans="1:11">
      <c r="A14" s="15">
        <v>7</v>
      </c>
      <c r="B14" s="15" t="s">
        <v>86</v>
      </c>
      <c r="C14" s="15" t="s">
        <v>86</v>
      </c>
      <c r="D14" s="15" t="s">
        <v>87</v>
      </c>
      <c r="E14" s="26" t="s">
        <v>65</v>
      </c>
      <c r="F14" s="26" t="s">
        <v>88</v>
      </c>
      <c r="G14" s="26" t="s">
        <v>45</v>
      </c>
      <c r="H14" s="30" t="s">
        <v>67</v>
      </c>
      <c r="I14" s="16">
        <v>0</v>
      </c>
      <c r="J14" s="16">
        <v>23000000</v>
      </c>
      <c r="K14" s="16">
        <v>25201264</v>
      </c>
    </row>
    <row r="15" spans="1:11">
      <c r="A15" s="18">
        <v>8</v>
      </c>
      <c r="B15" s="18" t="s">
        <v>89</v>
      </c>
      <c r="C15" s="18" t="s">
        <v>89</v>
      </c>
      <c r="D15" s="18" t="s">
        <v>90</v>
      </c>
      <c r="E15" s="8" t="s">
        <v>70</v>
      </c>
      <c r="F15" s="8" t="s">
        <v>91</v>
      </c>
      <c r="G15" s="8" t="s">
        <v>41</v>
      </c>
      <c r="H15" s="29" t="s">
        <v>72</v>
      </c>
      <c r="I15" s="19">
        <v>16429563</v>
      </c>
      <c r="J15" s="19">
        <v>0</v>
      </c>
      <c r="K15" s="19">
        <v>8771701</v>
      </c>
    </row>
    <row r="16" spans="1:11">
      <c r="A16" s="15">
        <v>9</v>
      </c>
      <c r="B16" s="15" t="s">
        <v>92</v>
      </c>
      <c r="C16" s="15" t="s">
        <v>92</v>
      </c>
      <c r="D16" s="15" t="s">
        <v>93</v>
      </c>
      <c r="E16" s="26" t="s">
        <v>70</v>
      </c>
      <c r="F16" s="26" t="s">
        <v>94</v>
      </c>
      <c r="G16" s="26" t="s">
        <v>44</v>
      </c>
      <c r="H16" s="28" t="s">
        <v>72</v>
      </c>
      <c r="I16" s="16">
        <v>1000000</v>
      </c>
      <c r="J16" s="16">
        <v>0</v>
      </c>
      <c r="K16" s="16">
        <v>7771701</v>
      </c>
    </row>
    <row r="17" spans="1:11">
      <c r="A17" s="18">
        <v>10</v>
      </c>
      <c r="B17" s="18" t="s">
        <v>92</v>
      </c>
      <c r="C17" s="18" t="s">
        <v>92</v>
      </c>
      <c r="D17" s="18" t="s">
        <v>93</v>
      </c>
      <c r="E17" s="8" t="s">
        <v>70</v>
      </c>
      <c r="F17" s="8" t="s">
        <v>95</v>
      </c>
      <c r="G17" s="8" t="s">
        <v>44</v>
      </c>
      <c r="H17" s="29" t="s">
        <v>72</v>
      </c>
      <c r="I17" s="19">
        <v>3500</v>
      </c>
      <c r="J17" s="19">
        <v>0</v>
      </c>
      <c r="K17" s="19">
        <v>7768201</v>
      </c>
    </row>
    <row r="18" spans="1:11">
      <c r="A18" s="15">
        <v>11</v>
      </c>
      <c r="B18" s="15" t="s">
        <v>89</v>
      </c>
      <c r="C18" s="15" t="s">
        <v>89</v>
      </c>
      <c r="D18" s="15" t="s">
        <v>96</v>
      </c>
      <c r="E18" s="26" t="s">
        <v>70</v>
      </c>
      <c r="F18" s="26" t="s">
        <v>97</v>
      </c>
      <c r="G18" s="26" t="s">
        <v>44</v>
      </c>
      <c r="H18" s="28" t="s">
        <v>72</v>
      </c>
      <c r="I18" s="16">
        <v>1000000</v>
      </c>
      <c r="J18" s="16">
        <v>0</v>
      </c>
      <c r="K18" s="16">
        <v>6768201</v>
      </c>
    </row>
    <row r="19" spans="1:11">
      <c r="A19" s="18">
        <v>12</v>
      </c>
      <c r="B19" s="18" t="s">
        <v>89</v>
      </c>
      <c r="C19" s="18" t="s">
        <v>89</v>
      </c>
      <c r="D19" s="18" t="s">
        <v>96</v>
      </c>
      <c r="E19" s="8" t="s">
        <v>70</v>
      </c>
      <c r="F19" s="8" t="s">
        <v>98</v>
      </c>
      <c r="G19" s="8" t="s">
        <v>44</v>
      </c>
      <c r="H19" s="29" t="s">
        <v>72</v>
      </c>
      <c r="I19" s="19">
        <v>3500</v>
      </c>
      <c r="J19" s="19">
        <v>0</v>
      </c>
      <c r="K19" s="19">
        <v>6764701</v>
      </c>
    </row>
    <row r="20" spans="1:11">
      <c r="A20" s="15">
        <v>13</v>
      </c>
      <c r="B20" s="15" t="s">
        <v>99</v>
      </c>
      <c r="C20" s="15" t="s">
        <v>99</v>
      </c>
      <c r="D20" s="15" t="s">
        <v>100</v>
      </c>
      <c r="E20" s="26" t="s">
        <v>70</v>
      </c>
      <c r="F20" s="26" t="s">
        <v>101</v>
      </c>
      <c r="G20" s="26" t="s">
        <v>41</v>
      </c>
      <c r="H20" s="28" t="s">
        <v>72</v>
      </c>
      <c r="I20" s="16">
        <v>20080</v>
      </c>
      <c r="J20" s="16">
        <v>0</v>
      </c>
      <c r="K20" s="16">
        <v>6744621</v>
      </c>
    </row>
    <row r="21" spans="1:11">
      <c r="A21" s="18">
        <v>14</v>
      </c>
      <c r="B21" s="18" t="s">
        <v>99</v>
      </c>
      <c r="C21" s="18" t="s">
        <v>99</v>
      </c>
      <c r="D21" s="18" t="s">
        <v>102</v>
      </c>
      <c r="E21" s="8" t="s">
        <v>70</v>
      </c>
      <c r="F21" s="8" t="s">
        <v>103</v>
      </c>
      <c r="G21" s="8" t="s">
        <v>44</v>
      </c>
      <c r="H21" s="29" t="s">
        <v>72</v>
      </c>
      <c r="I21" s="19">
        <v>1000000</v>
      </c>
      <c r="J21" s="19">
        <v>0</v>
      </c>
      <c r="K21" s="19">
        <v>5744621</v>
      </c>
    </row>
    <row r="22" spans="1:11">
      <c r="A22" s="15">
        <v>15</v>
      </c>
      <c r="B22" s="15" t="s">
        <v>99</v>
      </c>
      <c r="C22" s="15" t="s">
        <v>99</v>
      </c>
      <c r="D22" s="15" t="s">
        <v>102</v>
      </c>
      <c r="E22" s="26" t="s">
        <v>70</v>
      </c>
      <c r="F22" s="26" t="s">
        <v>104</v>
      </c>
      <c r="G22" s="26" t="s">
        <v>44</v>
      </c>
      <c r="H22" s="28" t="s">
        <v>72</v>
      </c>
      <c r="I22" s="16">
        <v>3500</v>
      </c>
      <c r="J22" s="16">
        <v>0</v>
      </c>
      <c r="K22" s="16">
        <v>5741121</v>
      </c>
    </row>
    <row r="23" spans="1:11">
      <c r="A23" s="18">
        <v>16</v>
      </c>
      <c r="B23" s="18" t="s">
        <v>105</v>
      </c>
      <c r="C23" s="18" t="s">
        <v>105</v>
      </c>
      <c r="D23" s="18" t="s">
        <v>106</v>
      </c>
      <c r="E23" s="8" t="s">
        <v>107</v>
      </c>
      <c r="F23" s="8" t="s">
        <v>108</v>
      </c>
      <c r="G23" s="8" t="s">
        <v>41</v>
      </c>
      <c r="H23" s="29" t="s">
        <v>72</v>
      </c>
      <c r="I23" s="19">
        <v>2075000</v>
      </c>
      <c r="J23" s="19">
        <v>0</v>
      </c>
      <c r="K23" s="19">
        <v>3666121</v>
      </c>
    </row>
    <row r="24" spans="1:11">
      <c r="A24" s="15">
        <v>17</v>
      </c>
      <c r="B24" s="15" t="s">
        <v>109</v>
      </c>
      <c r="C24" s="15" t="s">
        <v>109</v>
      </c>
      <c r="D24" s="15" t="s">
        <v>110</v>
      </c>
      <c r="E24" s="26" t="s">
        <v>111</v>
      </c>
      <c r="F24" s="26" t="s">
        <v>112</v>
      </c>
      <c r="G24" s="26" t="s">
        <v>47</v>
      </c>
      <c r="H24" s="30" t="s">
        <v>67</v>
      </c>
      <c r="I24" s="16">
        <v>0</v>
      </c>
      <c r="J24" s="16">
        <v>10</v>
      </c>
      <c r="K24" s="16">
        <v>3666131</v>
      </c>
    </row>
    <row r="25" spans="1:11">
      <c r="A25" s="18">
        <v>18</v>
      </c>
      <c r="B25" s="18" t="s">
        <v>109</v>
      </c>
      <c r="C25" s="18" t="s">
        <v>109</v>
      </c>
      <c r="D25" s="18" t="s">
        <v>110</v>
      </c>
      <c r="E25" s="8" t="s">
        <v>113</v>
      </c>
      <c r="F25" s="8" t="s">
        <v>114</v>
      </c>
      <c r="G25" s="8" t="s">
        <v>48</v>
      </c>
      <c r="H25" s="29" t="s">
        <v>72</v>
      </c>
      <c r="I25" s="19">
        <v>25000</v>
      </c>
      <c r="J25" s="19">
        <v>0</v>
      </c>
      <c r="K25" s="19">
        <v>3641131</v>
      </c>
    </row>
    <row r="26" spans="1:11">
      <c r="A26" s="21"/>
      <c r="B26" s="22" t="s">
        <v>374</v>
      </c>
      <c r="C26" s="21"/>
      <c r="D26" s="21"/>
      <c r="E26" s="21"/>
      <c r="F26" s="21"/>
      <c r="G26" s="21"/>
      <c r="H26" s="21"/>
      <c r="I26" s="23">
        <f>SUM(I8:I25)</f>
        <v>27174981</v>
      </c>
      <c r="J26" s="23">
        <f>SUM(J8:J25)</f>
        <v>28500010</v>
      </c>
      <c r="K26" s="23">
        <v>3641131</v>
      </c>
    </row>
  </sheetData>
  <autoFilter ref="A7:K25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14" customWidth="1"/>
    <col min="2" max="2" width="23" customWidth="1"/>
    <col min="3" max="3" width="24" customWidth="1"/>
    <col min="4" max="4" width="14" customWidth="1"/>
    <col min="5" max="5" width="48" customWidth="1"/>
    <col min="6" max="6" width="60" customWidth="1"/>
    <col min="7" max="7" width="25" customWidth="1"/>
    <col min="8" max="8" width="12" customWidth="1"/>
    <col min="9" max="10" width="23" customWidth="1"/>
    <col min="11" max="11" width="20" customWidth="1"/>
  </cols>
  <sheetData>
    <row r="1" spans="1:11" ht="21">
      <c r="A1" s="45" t="s">
        <v>381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4" t="s">
        <v>382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4" spans="1:11">
      <c r="A4" s="31" t="s">
        <v>377</v>
      </c>
      <c r="C4" s="32" t="s">
        <v>378</v>
      </c>
      <c r="E4" s="33" t="s">
        <v>379</v>
      </c>
      <c r="G4" s="34" t="s">
        <v>380</v>
      </c>
    </row>
    <row r="5" spans="1:11" ht="18.75">
      <c r="A5" s="35">
        <v>3641131</v>
      </c>
      <c r="C5" s="36">
        <f>SUM(I8:I19)</f>
        <v>34532589</v>
      </c>
      <c r="E5" s="37">
        <f>SUM(J8:J19)</f>
        <v>32050296</v>
      </c>
      <c r="G5" s="38">
        <v>1158838</v>
      </c>
    </row>
    <row r="7" spans="1:11" ht="27.95" customHeight="1">
      <c r="A7" s="14" t="s">
        <v>19</v>
      </c>
      <c r="B7" s="14" t="s">
        <v>54</v>
      </c>
      <c r="C7" s="14" t="s">
        <v>55</v>
      </c>
      <c r="D7" s="14" t="s">
        <v>56</v>
      </c>
      <c r="E7" s="14" t="s">
        <v>57</v>
      </c>
      <c r="F7" s="14" t="s">
        <v>58</v>
      </c>
      <c r="G7" s="14" t="s">
        <v>59</v>
      </c>
      <c r="H7" s="14" t="s">
        <v>60</v>
      </c>
      <c r="I7" s="14" t="s">
        <v>61</v>
      </c>
      <c r="J7" s="14" t="s">
        <v>62</v>
      </c>
      <c r="K7" s="14" t="s">
        <v>25</v>
      </c>
    </row>
    <row r="8" spans="1:11">
      <c r="A8" s="15">
        <v>1</v>
      </c>
      <c r="B8" s="15" t="s">
        <v>115</v>
      </c>
      <c r="C8" s="15" t="s">
        <v>115</v>
      </c>
      <c r="D8" s="15" t="s">
        <v>116</v>
      </c>
      <c r="E8" s="26" t="s">
        <v>77</v>
      </c>
      <c r="F8" s="26" t="s">
        <v>117</v>
      </c>
      <c r="G8" s="26" t="s">
        <v>40</v>
      </c>
      <c r="H8" s="30" t="s">
        <v>67</v>
      </c>
      <c r="I8" s="16">
        <v>0</v>
      </c>
      <c r="J8" s="16">
        <v>23000000</v>
      </c>
      <c r="K8" s="16">
        <v>26641131</v>
      </c>
    </row>
    <row r="9" spans="1:11">
      <c r="A9" s="18">
        <v>2</v>
      </c>
      <c r="B9" s="18" t="s">
        <v>118</v>
      </c>
      <c r="C9" s="18" t="s">
        <v>118</v>
      </c>
      <c r="D9" s="18" t="s">
        <v>119</v>
      </c>
      <c r="E9" s="8" t="s">
        <v>70</v>
      </c>
      <c r="F9" s="8" t="s">
        <v>120</v>
      </c>
      <c r="G9" s="8" t="s">
        <v>41</v>
      </c>
      <c r="H9" s="29" t="s">
        <v>72</v>
      </c>
      <c r="I9" s="19">
        <v>23466520</v>
      </c>
      <c r="J9" s="19">
        <v>0</v>
      </c>
      <c r="K9" s="19">
        <v>3174611</v>
      </c>
    </row>
    <row r="10" spans="1:11">
      <c r="A10" s="15">
        <v>3</v>
      </c>
      <c r="B10" s="15" t="s">
        <v>121</v>
      </c>
      <c r="C10" s="15" t="s">
        <v>121</v>
      </c>
      <c r="D10" s="15" t="s">
        <v>122</v>
      </c>
      <c r="E10" s="26" t="s">
        <v>70</v>
      </c>
      <c r="F10" s="26" t="s">
        <v>123</v>
      </c>
      <c r="G10" s="26" t="s">
        <v>40</v>
      </c>
      <c r="H10" s="28" t="s">
        <v>72</v>
      </c>
      <c r="I10" s="16">
        <v>3000000</v>
      </c>
      <c r="J10" s="16">
        <v>0</v>
      </c>
      <c r="K10" s="16">
        <v>174611</v>
      </c>
    </row>
    <row r="11" spans="1:11">
      <c r="A11" s="18">
        <v>4</v>
      </c>
      <c r="B11" s="18" t="s">
        <v>124</v>
      </c>
      <c r="C11" s="18" t="s">
        <v>124</v>
      </c>
      <c r="D11" s="18" t="s">
        <v>125</v>
      </c>
      <c r="E11" s="8" t="s">
        <v>77</v>
      </c>
      <c r="F11" s="8" t="s">
        <v>126</v>
      </c>
      <c r="G11" s="8" t="s">
        <v>40</v>
      </c>
      <c r="H11" s="27" t="s">
        <v>67</v>
      </c>
      <c r="I11" s="19">
        <v>0</v>
      </c>
      <c r="J11" s="19">
        <v>5000000</v>
      </c>
      <c r="K11" s="19">
        <v>5174611</v>
      </c>
    </row>
    <row r="12" spans="1:11">
      <c r="A12" s="15">
        <v>5</v>
      </c>
      <c r="B12" s="15" t="s">
        <v>127</v>
      </c>
      <c r="C12" s="15" t="s">
        <v>127</v>
      </c>
      <c r="D12" s="15" t="s">
        <v>128</v>
      </c>
      <c r="E12" s="26" t="s">
        <v>65</v>
      </c>
      <c r="F12" s="26" t="s">
        <v>66</v>
      </c>
      <c r="G12" s="26" t="s">
        <v>40</v>
      </c>
      <c r="H12" s="30" t="s">
        <v>67</v>
      </c>
      <c r="I12" s="16">
        <v>0</v>
      </c>
      <c r="J12" s="16">
        <v>1000000</v>
      </c>
      <c r="K12" s="16">
        <v>6174611</v>
      </c>
    </row>
    <row r="13" spans="1:11">
      <c r="A13" s="18">
        <v>6</v>
      </c>
      <c r="B13" s="18" t="s">
        <v>129</v>
      </c>
      <c r="C13" s="18" t="s">
        <v>129</v>
      </c>
      <c r="D13" s="18" t="s">
        <v>130</v>
      </c>
      <c r="E13" s="8" t="s">
        <v>70</v>
      </c>
      <c r="F13" s="8" t="s">
        <v>85</v>
      </c>
      <c r="G13" s="8" t="s">
        <v>43</v>
      </c>
      <c r="H13" s="29" t="s">
        <v>72</v>
      </c>
      <c r="I13" s="19">
        <v>1336446</v>
      </c>
      <c r="J13" s="19">
        <v>0</v>
      </c>
      <c r="K13" s="19">
        <v>4838165</v>
      </c>
    </row>
    <row r="14" spans="1:11">
      <c r="A14" s="15">
        <v>7</v>
      </c>
      <c r="B14" s="15" t="s">
        <v>131</v>
      </c>
      <c r="C14" s="15" t="s">
        <v>131</v>
      </c>
      <c r="D14" s="15" t="s">
        <v>132</v>
      </c>
      <c r="E14" s="26" t="s">
        <v>107</v>
      </c>
      <c r="F14" s="26" t="s">
        <v>133</v>
      </c>
      <c r="G14" s="26" t="s">
        <v>42</v>
      </c>
      <c r="H14" s="28" t="s">
        <v>72</v>
      </c>
      <c r="I14" s="16">
        <v>3804623</v>
      </c>
      <c r="J14" s="16">
        <v>0</v>
      </c>
      <c r="K14" s="16">
        <v>1033542</v>
      </c>
    </row>
    <row r="15" spans="1:11">
      <c r="A15" s="18">
        <v>8</v>
      </c>
      <c r="B15" s="18" t="s">
        <v>134</v>
      </c>
      <c r="C15" s="18" t="s">
        <v>134</v>
      </c>
      <c r="D15" s="18" t="s">
        <v>135</v>
      </c>
      <c r="E15" s="8" t="s">
        <v>136</v>
      </c>
      <c r="F15" s="8" t="s">
        <v>137</v>
      </c>
      <c r="G15" s="8" t="s">
        <v>40</v>
      </c>
      <c r="H15" s="27" t="s">
        <v>67</v>
      </c>
      <c r="I15" s="19">
        <v>0</v>
      </c>
      <c r="J15" s="19">
        <v>3000000</v>
      </c>
      <c r="K15" s="19">
        <v>4033542</v>
      </c>
    </row>
    <row r="16" spans="1:11">
      <c r="A16" s="15">
        <v>9</v>
      </c>
      <c r="B16" s="15" t="s">
        <v>138</v>
      </c>
      <c r="C16" s="15" t="s">
        <v>138</v>
      </c>
      <c r="D16" s="15" t="s">
        <v>139</v>
      </c>
      <c r="E16" s="26" t="s">
        <v>70</v>
      </c>
      <c r="F16" s="26" t="s">
        <v>140</v>
      </c>
      <c r="G16" s="26" t="s">
        <v>41</v>
      </c>
      <c r="H16" s="28" t="s">
        <v>72</v>
      </c>
      <c r="I16" s="16">
        <v>2900000</v>
      </c>
      <c r="J16" s="16">
        <v>0</v>
      </c>
      <c r="K16" s="16">
        <v>1133542</v>
      </c>
    </row>
    <row r="17" spans="1:11">
      <c r="A17" s="18">
        <v>10</v>
      </c>
      <c r="B17" s="18" t="s">
        <v>141</v>
      </c>
      <c r="C17" s="18" t="s">
        <v>141</v>
      </c>
      <c r="D17" s="18" t="s">
        <v>142</v>
      </c>
      <c r="E17" s="8" t="s">
        <v>65</v>
      </c>
      <c r="F17" s="8" t="s">
        <v>143</v>
      </c>
      <c r="G17" s="8" t="s">
        <v>40</v>
      </c>
      <c r="H17" s="27" t="s">
        <v>67</v>
      </c>
      <c r="I17" s="19">
        <v>0</v>
      </c>
      <c r="J17" s="19">
        <v>50000</v>
      </c>
      <c r="K17" s="19">
        <v>1183542</v>
      </c>
    </row>
    <row r="18" spans="1:11">
      <c r="A18" s="15">
        <v>11</v>
      </c>
      <c r="B18" s="15" t="s">
        <v>144</v>
      </c>
      <c r="C18" s="15" t="s">
        <v>144</v>
      </c>
      <c r="D18" s="15" t="s">
        <v>145</v>
      </c>
      <c r="E18" s="26" t="s">
        <v>113</v>
      </c>
      <c r="F18" s="26" t="s">
        <v>112</v>
      </c>
      <c r="G18" s="26" t="s">
        <v>47</v>
      </c>
      <c r="H18" s="30" t="s">
        <v>67</v>
      </c>
      <c r="I18" s="16">
        <v>0</v>
      </c>
      <c r="J18" s="16">
        <v>296</v>
      </c>
      <c r="K18" s="16">
        <v>1183838</v>
      </c>
    </row>
    <row r="19" spans="1:11">
      <c r="A19" s="18">
        <v>12</v>
      </c>
      <c r="B19" s="18" t="s">
        <v>146</v>
      </c>
      <c r="C19" s="18" t="s">
        <v>146</v>
      </c>
      <c r="D19" s="18" t="s">
        <v>145</v>
      </c>
      <c r="E19" s="8" t="s">
        <v>113</v>
      </c>
      <c r="F19" s="8" t="s">
        <v>114</v>
      </c>
      <c r="G19" s="8" t="s">
        <v>48</v>
      </c>
      <c r="H19" s="29" t="s">
        <v>72</v>
      </c>
      <c r="I19" s="19">
        <v>25000</v>
      </c>
      <c r="J19" s="19">
        <v>0</v>
      </c>
      <c r="K19" s="19">
        <v>1158838</v>
      </c>
    </row>
    <row r="20" spans="1:11">
      <c r="A20" s="21"/>
      <c r="B20" s="22" t="s">
        <v>374</v>
      </c>
      <c r="C20" s="21"/>
      <c r="D20" s="21"/>
      <c r="E20" s="21"/>
      <c r="F20" s="21"/>
      <c r="G20" s="21"/>
      <c r="H20" s="21"/>
      <c r="I20" s="23">
        <f>SUM(I8:I19)</f>
        <v>34532589</v>
      </c>
      <c r="J20" s="23">
        <f>SUM(J8:J19)</f>
        <v>32050296</v>
      </c>
      <c r="K20" s="23">
        <v>1158838</v>
      </c>
    </row>
  </sheetData>
  <autoFilter ref="A7:K19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14" customWidth="1"/>
    <col min="2" max="2" width="23" customWidth="1"/>
    <col min="3" max="3" width="24" customWidth="1"/>
    <col min="4" max="4" width="14" customWidth="1"/>
    <col min="5" max="5" width="48" customWidth="1"/>
    <col min="6" max="6" width="60" customWidth="1"/>
    <col min="7" max="7" width="24" customWidth="1"/>
    <col min="8" max="8" width="12" customWidth="1"/>
    <col min="9" max="10" width="23" customWidth="1"/>
    <col min="11" max="11" width="20" customWidth="1"/>
  </cols>
  <sheetData>
    <row r="1" spans="1:11" ht="21">
      <c r="A1" s="45" t="s">
        <v>383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4" t="s">
        <v>384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4" spans="1:11">
      <c r="A4" s="31" t="s">
        <v>377</v>
      </c>
      <c r="C4" s="32" t="s">
        <v>378</v>
      </c>
      <c r="E4" s="33" t="s">
        <v>379</v>
      </c>
      <c r="G4" s="34" t="s">
        <v>380</v>
      </c>
    </row>
    <row r="5" spans="1:11" ht="18.75">
      <c r="A5" s="35">
        <v>1158838</v>
      </c>
      <c r="C5" s="36">
        <f>SUM(I8:I16)</f>
        <v>8115149</v>
      </c>
      <c r="E5" s="37">
        <f>SUM(J8:J16)</f>
        <v>142069630</v>
      </c>
      <c r="G5" s="38">
        <v>135113319</v>
      </c>
    </row>
    <row r="7" spans="1:11" ht="27.95" customHeight="1">
      <c r="A7" s="14" t="s">
        <v>19</v>
      </c>
      <c r="B7" s="14" t="s">
        <v>54</v>
      </c>
      <c r="C7" s="14" t="s">
        <v>55</v>
      </c>
      <c r="D7" s="14" t="s">
        <v>56</v>
      </c>
      <c r="E7" s="14" t="s">
        <v>57</v>
      </c>
      <c r="F7" s="14" t="s">
        <v>58</v>
      </c>
      <c r="G7" s="14" t="s">
        <v>59</v>
      </c>
      <c r="H7" s="14" t="s">
        <v>60</v>
      </c>
      <c r="I7" s="14" t="s">
        <v>61</v>
      </c>
      <c r="J7" s="14" t="s">
        <v>62</v>
      </c>
      <c r="K7" s="14" t="s">
        <v>25</v>
      </c>
    </row>
    <row r="8" spans="1:11">
      <c r="A8" s="15">
        <v>1</v>
      </c>
      <c r="B8" s="15" t="s">
        <v>147</v>
      </c>
      <c r="C8" s="15" t="s">
        <v>147</v>
      </c>
      <c r="D8" s="15" t="s">
        <v>148</v>
      </c>
      <c r="E8" s="26" t="s">
        <v>65</v>
      </c>
      <c r="F8" s="26" t="s">
        <v>88</v>
      </c>
      <c r="G8" s="26" t="s">
        <v>45</v>
      </c>
      <c r="H8" s="30" t="s">
        <v>67</v>
      </c>
      <c r="I8" s="16">
        <v>0</v>
      </c>
      <c r="J8" s="16">
        <v>8100000</v>
      </c>
      <c r="K8" s="16">
        <v>9258838</v>
      </c>
    </row>
    <row r="9" spans="1:11">
      <c r="A9" s="18">
        <v>2</v>
      </c>
      <c r="B9" s="18" t="s">
        <v>149</v>
      </c>
      <c r="C9" s="18" t="s">
        <v>149</v>
      </c>
      <c r="D9" s="18" t="s">
        <v>150</v>
      </c>
      <c r="E9" s="8" t="s">
        <v>70</v>
      </c>
      <c r="F9" s="8" t="s">
        <v>151</v>
      </c>
      <c r="G9" s="8" t="s">
        <v>41</v>
      </c>
      <c r="H9" s="29" t="s">
        <v>72</v>
      </c>
      <c r="I9" s="19">
        <v>2900000</v>
      </c>
      <c r="J9" s="19">
        <v>0</v>
      </c>
      <c r="K9" s="19">
        <v>6358838</v>
      </c>
    </row>
    <row r="10" spans="1:11">
      <c r="A10" s="15">
        <v>3</v>
      </c>
      <c r="B10" s="15" t="s">
        <v>152</v>
      </c>
      <c r="C10" s="15" t="s">
        <v>152</v>
      </c>
      <c r="D10" s="15" t="s">
        <v>153</v>
      </c>
      <c r="E10" s="26" t="s">
        <v>70</v>
      </c>
      <c r="F10" s="26" t="s">
        <v>154</v>
      </c>
      <c r="G10" s="26" t="s">
        <v>42</v>
      </c>
      <c r="H10" s="28" t="s">
        <v>72</v>
      </c>
      <c r="I10" s="16">
        <v>3804623</v>
      </c>
      <c r="J10" s="16">
        <v>0</v>
      </c>
      <c r="K10" s="16">
        <v>2554215</v>
      </c>
    </row>
    <row r="11" spans="1:11">
      <c r="A11" s="18">
        <v>4</v>
      </c>
      <c r="B11" s="18" t="s">
        <v>155</v>
      </c>
      <c r="C11" s="18" t="s">
        <v>155</v>
      </c>
      <c r="D11" s="18" t="s">
        <v>156</v>
      </c>
      <c r="E11" s="8" t="s">
        <v>70</v>
      </c>
      <c r="F11" s="8" t="s">
        <v>85</v>
      </c>
      <c r="G11" s="8" t="s">
        <v>43</v>
      </c>
      <c r="H11" s="29" t="s">
        <v>72</v>
      </c>
      <c r="I11" s="19">
        <v>1381976</v>
      </c>
      <c r="J11" s="19">
        <v>0</v>
      </c>
      <c r="K11" s="19">
        <v>1172239</v>
      </c>
    </row>
    <row r="12" spans="1:11">
      <c r="A12" s="15">
        <v>5</v>
      </c>
      <c r="B12" s="15" t="s">
        <v>157</v>
      </c>
      <c r="C12" s="15" t="s">
        <v>157</v>
      </c>
      <c r="D12" s="15" t="s">
        <v>158</v>
      </c>
      <c r="E12" s="26" t="s">
        <v>65</v>
      </c>
      <c r="F12" s="26" t="s">
        <v>88</v>
      </c>
      <c r="G12" s="26" t="s">
        <v>45</v>
      </c>
      <c r="H12" s="30" t="s">
        <v>67</v>
      </c>
      <c r="I12" s="16">
        <v>0</v>
      </c>
      <c r="J12" s="16">
        <v>133726880</v>
      </c>
      <c r="K12" s="16">
        <v>134899119</v>
      </c>
    </row>
    <row r="13" spans="1:11">
      <c r="A13" s="18">
        <v>6</v>
      </c>
      <c r="B13" s="18" t="s">
        <v>159</v>
      </c>
      <c r="C13" s="18" t="s">
        <v>159</v>
      </c>
      <c r="D13" s="18" t="s">
        <v>160</v>
      </c>
      <c r="E13" s="8" t="s">
        <v>65</v>
      </c>
      <c r="F13" s="8" t="s">
        <v>161</v>
      </c>
      <c r="G13" s="8" t="s">
        <v>45</v>
      </c>
      <c r="H13" s="27" t="s">
        <v>67</v>
      </c>
      <c r="I13" s="19">
        <v>0</v>
      </c>
      <c r="J13" s="19">
        <v>225000</v>
      </c>
      <c r="K13" s="19">
        <v>135124119</v>
      </c>
    </row>
    <row r="14" spans="1:11">
      <c r="A14" s="15">
        <v>7</v>
      </c>
      <c r="B14" s="15" t="s">
        <v>162</v>
      </c>
      <c r="C14" s="15" t="s">
        <v>162</v>
      </c>
      <c r="D14" s="15" t="s">
        <v>163</v>
      </c>
      <c r="E14" s="26" t="s">
        <v>113</v>
      </c>
      <c r="F14" s="26" t="s">
        <v>164</v>
      </c>
      <c r="G14" s="26" t="s">
        <v>47</v>
      </c>
      <c r="H14" s="30" t="s">
        <v>67</v>
      </c>
      <c r="I14" s="16">
        <v>0</v>
      </c>
      <c r="J14" s="16">
        <v>17750</v>
      </c>
      <c r="K14" s="16">
        <v>135141869</v>
      </c>
    </row>
    <row r="15" spans="1:11">
      <c r="A15" s="18">
        <v>8</v>
      </c>
      <c r="B15" s="18" t="s">
        <v>162</v>
      </c>
      <c r="C15" s="18" t="s">
        <v>162</v>
      </c>
      <c r="D15" s="18" t="s">
        <v>163</v>
      </c>
      <c r="E15" s="8" t="s">
        <v>113</v>
      </c>
      <c r="F15" s="8" t="s">
        <v>165</v>
      </c>
      <c r="G15" s="8" t="s">
        <v>49</v>
      </c>
      <c r="H15" s="29" t="s">
        <v>72</v>
      </c>
      <c r="I15" s="19">
        <v>3550</v>
      </c>
      <c r="J15" s="19">
        <v>0</v>
      </c>
      <c r="K15" s="19">
        <v>135138319</v>
      </c>
    </row>
    <row r="16" spans="1:11">
      <c r="A16" s="15">
        <v>9</v>
      </c>
      <c r="B16" s="15" t="s">
        <v>166</v>
      </c>
      <c r="C16" s="15" t="s">
        <v>166</v>
      </c>
      <c r="D16" s="15" t="s">
        <v>163</v>
      </c>
      <c r="E16" s="26" t="s">
        <v>113</v>
      </c>
      <c r="F16" s="26" t="s">
        <v>114</v>
      </c>
      <c r="G16" s="26" t="s">
        <v>48</v>
      </c>
      <c r="H16" s="28" t="s">
        <v>72</v>
      </c>
      <c r="I16" s="16">
        <v>25000</v>
      </c>
      <c r="J16" s="16">
        <v>0</v>
      </c>
      <c r="K16" s="16">
        <v>135113319</v>
      </c>
    </row>
    <row r="17" spans="1:11">
      <c r="A17" s="21"/>
      <c r="B17" s="22" t="s">
        <v>374</v>
      </c>
      <c r="C17" s="21"/>
      <c r="D17" s="21"/>
      <c r="E17" s="21"/>
      <c r="F17" s="21"/>
      <c r="G17" s="21"/>
      <c r="H17" s="21"/>
      <c r="I17" s="23">
        <f>SUM(I8:I16)</f>
        <v>8115149</v>
      </c>
      <c r="J17" s="23">
        <f>SUM(J8:J16)</f>
        <v>142069630</v>
      </c>
      <c r="K17" s="23">
        <v>135113319</v>
      </c>
    </row>
  </sheetData>
  <autoFilter ref="A7:K16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15" customWidth="1"/>
    <col min="2" max="2" width="23" customWidth="1"/>
    <col min="3" max="3" width="24" customWidth="1"/>
    <col min="4" max="4" width="14" customWidth="1"/>
    <col min="5" max="6" width="60" customWidth="1"/>
    <col min="7" max="7" width="25" customWidth="1"/>
    <col min="8" max="8" width="12" customWidth="1"/>
    <col min="9" max="10" width="23" customWidth="1"/>
    <col min="11" max="11" width="20" customWidth="1"/>
  </cols>
  <sheetData>
    <row r="1" spans="1:11" ht="21">
      <c r="A1" s="45" t="s">
        <v>385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4" t="s">
        <v>386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4" spans="1:11">
      <c r="A4" s="31" t="s">
        <v>377</v>
      </c>
      <c r="C4" s="32" t="s">
        <v>378</v>
      </c>
      <c r="E4" s="33" t="s">
        <v>379</v>
      </c>
      <c r="G4" s="34" t="s">
        <v>380</v>
      </c>
    </row>
    <row r="5" spans="1:11" ht="18.75">
      <c r="A5" s="35">
        <v>135113319</v>
      </c>
      <c r="C5" s="36">
        <f>SUM(I8:I30)</f>
        <v>646720434</v>
      </c>
      <c r="E5" s="37">
        <f>SUM(J8:J30)</f>
        <v>554778538</v>
      </c>
      <c r="G5" s="38">
        <v>43171423</v>
      </c>
    </row>
    <row r="7" spans="1:11" ht="27.95" customHeight="1">
      <c r="A7" s="14" t="s">
        <v>19</v>
      </c>
      <c r="B7" s="14" t="s">
        <v>54</v>
      </c>
      <c r="C7" s="14" t="s">
        <v>55</v>
      </c>
      <c r="D7" s="14" t="s">
        <v>56</v>
      </c>
      <c r="E7" s="14" t="s">
        <v>57</v>
      </c>
      <c r="F7" s="14" t="s">
        <v>58</v>
      </c>
      <c r="G7" s="14" t="s">
        <v>59</v>
      </c>
      <c r="H7" s="14" t="s">
        <v>60</v>
      </c>
      <c r="I7" s="14" t="s">
        <v>61</v>
      </c>
      <c r="J7" s="14" t="s">
        <v>62</v>
      </c>
      <c r="K7" s="14" t="s">
        <v>25</v>
      </c>
    </row>
    <row r="8" spans="1:11">
      <c r="A8" s="15">
        <v>1</v>
      </c>
      <c r="B8" s="15" t="s">
        <v>167</v>
      </c>
      <c r="C8" s="15" t="s">
        <v>167</v>
      </c>
      <c r="D8" s="15" t="s">
        <v>168</v>
      </c>
      <c r="E8" s="26" t="s">
        <v>70</v>
      </c>
      <c r="F8" s="26" t="s">
        <v>169</v>
      </c>
      <c r="G8" s="26" t="s">
        <v>40</v>
      </c>
      <c r="H8" s="28" t="s">
        <v>72</v>
      </c>
      <c r="I8" s="16">
        <v>20000000</v>
      </c>
      <c r="J8" s="16">
        <v>0</v>
      </c>
      <c r="K8" s="16">
        <v>115113319</v>
      </c>
    </row>
    <row r="9" spans="1:11">
      <c r="A9" s="18">
        <v>2</v>
      </c>
      <c r="B9" s="18" t="s">
        <v>170</v>
      </c>
      <c r="C9" s="18" t="s">
        <v>170</v>
      </c>
      <c r="D9" s="18" t="s">
        <v>168</v>
      </c>
      <c r="E9" s="8" t="s">
        <v>70</v>
      </c>
      <c r="F9" s="8" t="s">
        <v>171</v>
      </c>
      <c r="G9" s="8" t="s">
        <v>45</v>
      </c>
      <c r="H9" s="29" t="s">
        <v>72</v>
      </c>
      <c r="I9" s="19">
        <v>2500</v>
      </c>
      <c r="J9" s="19">
        <v>0</v>
      </c>
      <c r="K9" s="19">
        <v>115110819</v>
      </c>
    </row>
    <row r="10" spans="1:11">
      <c r="A10" s="15">
        <v>3</v>
      </c>
      <c r="B10" s="15" t="s">
        <v>172</v>
      </c>
      <c r="C10" s="15" t="s">
        <v>172</v>
      </c>
      <c r="D10" s="15" t="s">
        <v>173</v>
      </c>
      <c r="E10" s="26" t="s">
        <v>77</v>
      </c>
      <c r="F10" s="26" t="s">
        <v>174</v>
      </c>
      <c r="G10" s="26" t="s">
        <v>40</v>
      </c>
      <c r="H10" s="30" t="s">
        <v>67</v>
      </c>
      <c r="I10" s="16">
        <v>0</v>
      </c>
      <c r="J10" s="16">
        <v>20000000</v>
      </c>
      <c r="K10" s="16">
        <v>135110819</v>
      </c>
    </row>
    <row r="11" spans="1:11">
      <c r="A11" s="18">
        <v>4</v>
      </c>
      <c r="B11" s="18" t="s">
        <v>175</v>
      </c>
      <c r="C11" s="18" t="s">
        <v>175</v>
      </c>
      <c r="D11" s="18" t="s">
        <v>176</v>
      </c>
      <c r="E11" s="8" t="s">
        <v>65</v>
      </c>
      <c r="F11" s="8" t="s">
        <v>88</v>
      </c>
      <c r="G11" s="8" t="s">
        <v>45</v>
      </c>
      <c r="H11" s="27" t="s">
        <v>67</v>
      </c>
      <c r="I11" s="19">
        <v>0</v>
      </c>
      <c r="J11" s="19">
        <v>237047200</v>
      </c>
      <c r="K11" s="19">
        <v>372158019</v>
      </c>
    </row>
    <row r="12" spans="1:11">
      <c r="A12" s="15">
        <v>5</v>
      </c>
      <c r="B12" s="15" t="s">
        <v>177</v>
      </c>
      <c r="C12" s="15" t="s">
        <v>177</v>
      </c>
      <c r="D12" s="15" t="s">
        <v>178</v>
      </c>
      <c r="E12" s="26" t="s">
        <v>70</v>
      </c>
      <c r="F12" s="26" t="s">
        <v>179</v>
      </c>
      <c r="G12" s="26" t="s">
        <v>41</v>
      </c>
      <c r="H12" s="28" t="s">
        <v>72</v>
      </c>
      <c r="I12" s="16">
        <v>2900000</v>
      </c>
      <c r="J12" s="16">
        <v>0</v>
      </c>
      <c r="K12" s="16">
        <v>369258019</v>
      </c>
    </row>
    <row r="13" spans="1:11">
      <c r="A13" s="18">
        <v>6</v>
      </c>
      <c r="B13" s="18" t="s">
        <v>180</v>
      </c>
      <c r="C13" s="18" t="s">
        <v>180</v>
      </c>
      <c r="D13" s="18" t="s">
        <v>181</v>
      </c>
      <c r="E13" s="8" t="s">
        <v>70</v>
      </c>
      <c r="F13" s="8" t="s">
        <v>182</v>
      </c>
      <c r="G13" s="8" t="s">
        <v>40</v>
      </c>
      <c r="H13" s="29" t="s">
        <v>72</v>
      </c>
      <c r="I13" s="19">
        <v>132500000</v>
      </c>
      <c r="J13" s="19">
        <v>0</v>
      </c>
      <c r="K13" s="19">
        <v>236758019</v>
      </c>
    </row>
    <row r="14" spans="1:11">
      <c r="A14" s="15">
        <v>7</v>
      </c>
      <c r="B14" s="15" t="s">
        <v>183</v>
      </c>
      <c r="C14" s="15" t="s">
        <v>183</v>
      </c>
      <c r="D14" s="15" t="s">
        <v>181</v>
      </c>
      <c r="E14" s="26" t="s">
        <v>107</v>
      </c>
      <c r="F14" s="26" t="s">
        <v>171</v>
      </c>
      <c r="G14" s="26" t="s">
        <v>45</v>
      </c>
      <c r="H14" s="28" t="s">
        <v>72</v>
      </c>
      <c r="I14" s="16">
        <v>2500</v>
      </c>
      <c r="J14" s="16">
        <v>0</v>
      </c>
      <c r="K14" s="16">
        <v>236755519</v>
      </c>
    </row>
    <row r="15" spans="1:11">
      <c r="A15" s="18">
        <v>8</v>
      </c>
      <c r="B15" s="18" t="s">
        <v>184</v>
      </c>
      <c r="C15" s="18" t="s">
        <v>184</v>
      </c>
      <c r="D15" s="18" t="s">
        <v>185</v>
      </c>
      <c r="E15" s="8" t="s">
        <v>186</v>
      </c>
      <c r="F15" s="8" t="s">
        <v>187</v>
      </c>
      <c r="G15" s="8" t="s">
        <v>46</v>
      </c>
      <c r="H15" s="27" t="s">
        <v>67</v>
      </c>
      <c r="I15" s="19">
        <v>0</v>
      </c>
      <c r="J15" s="19">
        <v>132500000</v>
      </c>
      <c r="K15" s="19">
        <v>369255519</v>
      </c>
    </row>
    <row r="16" spans="1:11">
      <c r="A16" s="15">
        <v>9</v>
      </c>
      <c r="B16" s="15" t="s">
        <v>188</v>
      </c>
      <c r="C16" s="15" t="s">
        <v>188</v>
      </c>
      <c r="D16" s="15" t="s">
        <v>189</v>
      </c>
      <c r="E16" s="26" t="s">
        <v>70</v>
      </c>
      <c r="F16" s="26" t="s">
        <v>190</v>
      </c>
      <c r="G16" s="26" t="s">
        <v>41</v>
      </c>
      <c r="H16" s="28" t="s">
        <v>72</v>
      </c>
      <c r="I16" s="16">
        <v>7300</v>
      </c>
      <c r="J16" s="16">
        <v>0</v>
      </c>
      <c r="K16" s="16">
        <v>369248219</v>
      </c>
    </row>
    <row r="17" spans="1:11">
      <c r="A17" s="18">
        <v>10</v>
      </c>
      <c r="B17" s="18" t="s">
        <v>191</v>
      </c>
      <c r="C17" s="18" t="s">
        <v>191</v>
      </c>
      <c r="D17" s="18" t="s">
        <v>192</v>
      </c>
      <c r="E17" s="8" t="s">
        <v>70</v>
      </c>
      <c r="F17" s="8" t="s">
        <v>193</v>
      </c>
      <c r="G17" s="8" t="s">
        <v>41</v>
      </c>
      <c r="H17" s="29" t="s">
        <v>72</v>
      </c>
      <c r="I17" s="19">
        <v>6160</v>
      </c>
      <c r="J17" s="19">
        <v>0</v>
      </c>
      <c r="K17" s="19">
        <v>369242059</v>
      </c>
    </row>
    <row r="18" spans="1:11">
      <c r="A18" s="15">
        <v>11</v>
      </c>
      <c r="B18" s="15" t="s">
        <v>194</v>
      </c>
      <c r="C18" s="15" t="s">
        <v>194</v>
      </c>
      <c r="D18" s="15" t="s">
        <v>195</v>
      </c>
      <c r="E18" s="26" t="s">
        <v>70</v>
      </c>
      <c r="F18" s="26" t="s">
        <v>196</v>
      </c>
      <c r="G18" s="26" t="s">
        <v>41</v>
      </c>
      <c r="H18" s="28" t="s">
        <v>72</v>
      </c>
      <c r="I18" s="16">
        <v>8800</v>
      </c>
      <c r="J18" s="16">
        <v>0</v>
      </c>
      <c r="K18" s="16">
        <v>369233259</v>
      </c>
    </row>
    <row r="19" spans="1:11">
      <c r="A19" s="18">
        <v>12</v>
      </c>
      <c r="B19" s="18" t="s">
        <v>197</v>
      </c>
      <c r="C19" s="18" t="s">
        <v>197</v>
      </c>
      <c r="D19" s="18" t="s">
        <v>198</v>
      </c>
      <c r="E19" s="8" t="s">
        <v>70</v>
      </c>
      <c r="F19" s="8" t="s">
        <v>199</v>
      </c>
      <c r="G19" s="8" t="s">
        <v>40</v>
      </c>
      <c r="H19" s="29" t="s">
        <v>72</v>
      </c>
      <c r="I19" s="19">
        <v>5000000</v>
      </c>
      <c r="J19" s="19">
        <v>0</v>
      </c>
      <c r="K19" s="19">
        <v>364233259</v>
      </c>
    </row>
    <row r="20" spans="1:11">
      <c r="A20" s="15">
        <v>13</v>
      </c>
      <c r="B20" s="15" t="s">
        <v>200</v>
      </c>
      <c r="C20" s="15" t="s">
        <v>200</v>
      </c>
      <c r="D20" s="15" t="s">
        <v>198</v>
      </c>
      <c r="E20" s="26" t="s">
        <v>107</v>
      </c>
      <c r="F20" s="26" t="s">
        <v>171</v>
      </c>
      <c r="G20" s="26" t="s">
        <v>45</v>
      </c>
      <c r="H20" s="28" t="s">
        <v>72</v>
      </c>
      <c r="I20" s="16">
        <v>2500</v>
      </c>
      <c r="J20" s="16">
        <v>0</v>
      </c>
      <c r="K20" s="16">
        <v>364230759</v>
      </c>
    </row>
    <row r="21" spans="1:11">
      <c r="A21" s="18">
        <v>14</v>
      </c>
      <c r="B21" s="18" t="s">
        <v>201</v>
      </c>
      <c r="C21" s="18" t="s">
        <v>201</v>
      </c>
      <c r="D21" s="18" t="s">
        <v>202</v>
      </c>
      <c r="E21" s="8" t="s">
        <v>203</v>
      </c>
      <c r="F21" s="8" t="s">
        <v>204</v>
      </c>
      <c r="G21" s="8" t="s">
        <v>50</v>
      </c>
      <c r="H21" s="27" t="s">
        <v>67</v>
      </c>
      <c r="I21" s="19">
        <v>0</v>
      </c>
      <c r="J21" s="19">
        <v>165000017</v>
      </c>
      <c r="K21" s="19">
        <v>529230776</v>
      </c>
    </row>
    <row r="22" spans="1:11">
      <c r="A22" s="15">
        <v>15</v>
      </c>
      <c r="B22" s="15" t="s">
        <v>205</v>
      </c>
      <c r="C22" s="15" t="s">
        <v>205</v>
      </c>
      <c r="D22" s="15" t="s">
        <v>206</v>
      </c>
      <c r="E22" s="26" t="s">
        <v>207</v>
      </c>
      <c r="F22" s="26" t="s">
        <v>208</v>
      </c>
      <c r="G22" s="26" t="s">
        <v>40</v>
      </c>
      <c r="H22" s="28" t="s">
        <v>72</v>
      </c>
      <c r="I22" s="16">
        <v>28000000</v>
      </c>
      <c r="J22" s="16">
        <v>0</v>
      </c>
      <c r="K22" s="16">
        <v>501230776</v>
      </c>
    </row>
    <row r="23" spans="1:11">
      <c r="A23" s="18">
        <v>16</v>
      </c>
      <c r="B23" s="18" t="s">
        <v>200</v>
      </c>
      <c r="C23" s="18" t="s">
        <v>200</v>
      </c>
      <c r="D23" s="18" t="s">
        <v>206</v>
      </c>
      <c r="E23" s="8" t="s">
        <v>209</v>
      </c>
      <c r="F23" s="8" t="s">
        <v>210</v>
      </c>
      <c r="G23" s="8" t="s">
        <v>45</v>
      </c>
      <c r="H23" s="29" t="s">
        <v>72</v>
      </c>
      <c r="I23" s="19">
        <v>2500</v>
      </c>
      <c r="J23" s="19">
        <v>0</v>
      </c>
      <c r="K23" s="19">
        <v>501228276</v>
      </c>
    </row>
    <row r="24" spans="1:11">
      <c r="A24" s="15">
        <v>17</v>
      </c>
      <c r="B24" s="15" t="s">
        <v>211</v>
      </c>
      <c r="C24" s="15" t="s">
        <v>211</v>
      </c>
      <c r="D24" s="15" t="s">
        <v>212</v>
      </c>
      <c r="E24" s="26" t="s">
        <v>213</v>
      </c>
      <c r="F24" s="26" t="s">
        <v>182</v>
      </c>
      <c r="G24" s="26" t="s">
        <v>40</v>
      </c>
      <c r="H24" s="28" t="s">
        <v>72</v>
      </c>
      <c r="I24" s="16">
        <v>102000000</v>
      </c>
      <c r="J24" s="16">
        <v>0</v>
      </c>
      <c r="K24" s="16">
        <v>399228276</v>
      </c>
    </row>
    <row r="25" spans="1:11">
      <c r="A25" s="18">
        <v>18</v>
      </c>
      <c r="B25" s="18" t="s">
        <v>214</v>
      </c>
      <c r="C25" s="18" t="s">
        <v>214</v>
      </c>
      <c r="D25" s="18" t="s">
        <v>212</v>
      </c>
      <c r="E25" s="8" t="s">
        <v>107</v>
      </c>
      <c r="F25" s="8" t="s">
        <v>171</v>
      </c>
      <c r="G25" s="8" t="s">
        <v>45</v>
      </c>
      <c r="H25" s="29" t="s">
        <v>72</v>
      </c>
      <c r="I25" s="19">
        <v>2500</v>
      </c>
      <c r="J25" s="19">
        <v>0</v>
      </c>
      <c r="K25" s="19">
        <v>399225776</v>
      </c>
    </row>
    <row r="26" spans="1:11">
      <c r="A26" s="15">
        <v>19</v>
      </c>
      <c r="B26" s="15" t="s">
        <v>215</v>
      </c>
      <c r="C26" s="15" t="s">
        <v>215</v>
      </c>
      <c r="D26" s="15" t="s">
        <v>216</v>
      </c>
      <c r="E26" s="26" t="s">
        <v>217</v>
      </c>
      <c r="F26" s="26" t="s">
        <v>218</v>
      </c>
      <c r="G26" s="26" t="s">
        <v>50</v>
      </c>
      <c r="H26" s="28" t="s">
        <v>72</v>
      </c>
      <c r="I26" s="16">
        <v>150000000</v>
      </c>
      <c r="J26" s="16">
        <v>0</v>
      </c>
      <c r="K26" s="16">
        <v>249225776</v>
      </c>
    </row>
    <row r="27" spans="1:11">
      <c r="A27" s="18">
        <v>20</v>
      </c>
      <c r="B27" s="18" t="s">
        <v>219</v>
      </c>
      <c r="C27" s="18" t="s">
        <v>219</v>
      </c>
      <c r="D27" s="18" t="s">
        <v>220</v>
      </c>
      <c r="E27" s="8" t="s">
        <v>207</v>
      </c>
      <c r="F27" s="8" t="s">
        <v>221</v>
      </c>
      <c r="G27" s="8" t="s">
        <v>41</v>
      </c>
      <c r="H27" s="29" t="s">
        <v>72</v>
      </c>
      <c r="I27" s="19">
        <v>206214409</v>
      </c>
      <c r="J27" s="19">
        <v>0</v>
      </c>
      <c r="K27" s="19">
        <v>43011367</v>
      </c>
    </row>
    <row r="28" spans="1:11">
      <c r="A28" s="15">
        <v>21</v>
      </c>
      <c r="B28" s="15" t="s">
        <v>222</v>
      </c>
      <c r="C28" s="15" t="s">
        <v>222</v>
      </c>
      <c r="D28" s="15" t="s">
        <v>223</v>
      </c>
      <c r="E28" s="26" t="s">
        <v>111</v>
      </c>
      <c r="F28" s="26" t="s">
        <v>112</v>
      </c>
      <c r="G28" s="26" t="s">
        <v>47</v>
      </c>
      <c r="H28" s="30" t="s">
        <v>67</v>
      </c>
      <c r="I28" s="16">
        <v>0</v>
      </c>
      <c r="J28" s="16">
        <v>231321</v>
      </c>
      <c r="K28" s="16">
        <v>43242688</v>
      </c>
    </row>
    <row r="29" spans="1:11">
      <c r="A29" s="18">
        <v>22</v>
      </c>
      <c r="B29" s="18" t="s">
        <v>222</v>
      </c>
      <c r="C29" s="18" t="s">
        <v>222</v>
      </c>
      <c r="D29" s="18" t="s">
        <v>223</v>
      </c>
      <c r="E29" s="8" t="s">
        <v>113</v>
      </c>
      <c r="F29" s="8" t="s">
        <v>165</v>
      </c>
      <c r="G29" s="8" t="s">
        <v>49</v>
      </c>
      <c r="H29" s="29" t="s">
        <v>72</v>
      </c>
      <c r="I29" s="19">
        <v>46265</v>
      </c>
      <c r="J29" s="19">
        <v>0</v>
      </c>
      <c r="K29" s="19">
        <v>43196423</v>
      </c>
    </row>
    <row r="30" spans="1:11">
      <c r="A30" s="15">
        <v>23</v>
      </c>
      <c r="B30" s="15" t="s">
        <v>222</v>
      </c>
      <c r="C30" s="15" t="s">
        <v>222</v>
      </c>
      <c r="D30" s="15" t="s">
        <v>223</v>
      </c>
      <c r="E30" s="26" t="s">
        <v>113</v>
      </c>
      <c r="F30" s="26" t="s">
        <v>114</v>
      </c>
      <c r="G30" s="26" t="s">
        <v>48</v>
      </c>
      <c r="H30" s="28" t="s">
        <v>72</v>
      </c>
      <c r="I30" s="16">
        <v>25000</v>
      </c>
      <c r="J30" s="16">
        <v>0</v>
      </c>
      <c r="K30" s="16">
        <v>43171423</v>
      </c>
    </row>
    <row r="31" spans="1:11">
      <c r="A31" s="21"/>
      <c r="B31" s="22" t="s">
        <v>374</v>
      </c>
      <c r="C31" s="21"/>
      <c r="D31" s="21"/>
      <c r="E31" s="21"/>
      <c r="F31" s="21"/>
      <c r="G31" s="21"/>
      <c r="H31" s="21"/>
      <c r="I31" s="23">
        <f>SUM(I8:I30)</f>
        <v>646720434</v>
      </c>
      <c r="J31" s="23">
        <f>SUM(J8:J30)</f>
        <v>554778538</v>
      </c>
      <c r="K31" s="23">
        <v>43171423</v>
      </c>
    </row>
  </sheetData>
  <autoFilter ref="A7:K30"/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14" customWidth="1"/>
    <col min="2" max="2" width="23" customWidth="1"/>
    <col min="3" max="3" width="24" customWidth="1"/>
    <col min="4" max="4" width="14" customWidth="1"/>
    <col min="5" max="6" width="60" customWidth="1"/>
    <col min="7" max="7" width="25" customWidth="1"/>
    <col min="8" max="8" width="12" customWidth="1"/>
    <col min="9" max="10" width="23" customWidth="1"/>
    <col min="11" max="11" width="20" customWidth="1"/>
  </cols>
  <sheetData>
    <row r="1" spans="1:11" ht="21">
      <c r="A1" s="45" t="s">
        <v>387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4" t="s">
        <v>388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4" spans="1:11">
      <c r="A4" s="31" t="s">
        <v>377</v>
      </c>
      <c r="C4" s="32" t="s">
        <v>378</v>
      </c>
      <c r="E4" s="33" t="s">
        <v>379</v>
      </c>
      <c r="G4" s="34" t="s">
        <v>380</v>
      </c>
    </row>
    <row r="5" spans="1:11" ht="18.75">
      <c r="A5" s="35">
        <v>43171423</v>
      </c>
      <c r="C5" s="36">
        <f>SUM(I8:I29)</f>
        <v>551530582</v>
      </c>
      <c r="E5" s="37">
        <f>SUM(J8:J29)</f>
        <v>514791752</v>
      </c>
      <c r="G5" s="38">
        <v>6432593</v>
      </c>
    </row>
    <row r="7" spans="1:11" ht="27.95" customHeight="1">
      <c r="A7" s="14" t="s">
        <v>19</v>
      </c>
      <c r="B7" s="14" t="s">
        <v>54</v>
      </c>
      <c r="C7" s="14" t="s">
        <v>55</v>
      </c>
      <c r="D7" s="14" t="s">
        <v>56</v>
      </c>
      <c r="E7" s="14" t="s">
        <v>57</v>
      </c>
      <c r="F7" s="14" t="s">
        <v>58</v>
      </c>
      <c r="G7" s="14" t="s">
        <v>59</v>
      </c>
      <c r="H7" s="14" t="s">
        <v>60</v>
      </c>
      <c r="I7" s="14" t="s">
        <v>61</v>
      </c>
      <c r="J7" s="14" t="s">
        <v>62</v>
      </c>
      <c r="K7" s="14" t="s">
        <v>25</v>
      </c>
    </row>
    <row r="8" spans="1:11">
      <c r="A8" s="15">
        <v>1</v>
      </c>
      <c r="B8" s="15" t="s">
        <v>224</v>
      </c>
      <c r="C8" s="15" t="s">
        <v>224</v>
      </c>
      <c r="D8" s="15" t="s">
        <v>225</v>
      </c>
      <c r="E8" s="26" t="s">
        <v>65</v>
      </c>
      <c r="F8" s="26" t="s">
        <v>88</v>
      </c>
      <c r="G8" s="26" t="s">
        <v>45</v>
      </c>
      <c r="H8" s="30" t="s">
        <v>67</v>
      </c>
      <c r="I8" s="16">
        <v>0</v>
      </c>
      <c r="J8" s="16">
        <v>233988000</v>
      </c>
      <c r="K8" s="16">
        <v>277159423</v>
      </c>
    </row>
    <row r="9" spans="1:11">
      <c r="A9" s="18">
        <v>2</v>
      </c>
      <c r="B9" s="18" t="s">
        <v>226</v>
      </c>
      <c r="C9" s="18" t="s">
        <v>226</v>
      </c>
      <c r="D9" s="18" t="s">
        <v>227</v>
      </c>
      <c r="E9" s="8" t="s">
        <v>65</v>
      </c>
      <c r="F9" s="8" t="s">
        <v>88</v>
      </c>
      <c r="G9" s="8" t="s">
        <v>45</v>
      </c>
      <c r="H9" s="27" t="s">
        <v>67</v>
      </c>
      <c r="I9" s="19">
        <v>0</v>
      </c>
      <c r="J9" s="19">
        <v>13350000</v>
      </c>
      <c r="K9" s="19">
        <v>290509423</v>
      </c>
    </row>
    <row r="10" spans="1:11">
      <c r="A10" s="15">
        <v>3</v>
      </c>
      <c r="B10" s="15" t="s">
        <v>228</v>
      </c>
      <c r="C10" s="15" t="s">
        <v>228</v>
      </c>
      <c r="D10" s="15" t="s">
        <v>229</v>
      </c>
      <c r="E10" s="26" t="s">
        <v>70</v>
      </c>
      <c r="F10" s="26" t="s">
        <v>230</v>
      </c>
      <c r="G10" s="26" t="s">
        <v>41</v>
      </c>
      <c r="H10" s="28" t="s">
        <v>72</v>
      </c>
      <c r="I10" s="16">
        <v>4700000</v>
      </c>
      <c r="J10" s="16">
        <v>0</v>
      </c>
      <c r="K10" s="16">
        <v>285809423</v>
      </c>
    </row>
    <row r="11" spans="1:11">
      <c r="A11" s="18">
        <v>4</v>
      </c>
      <c r="B11" s="18" t="s">
        <v>231</v>
      </c>
      <c r="C11" s="18" t="s">
        <v>231</v>
      </c>
      <c r="D11" s="18" t="s">
        <v>232</v>
      </c>
      <c r="E11" s="8" t="s">
        <v>70</v>
      </c>
      <c r="F11" s="8" t="s">
        <v>233</v>
      </c>
      <c r="G11" s="8" t="s">
        <v>42</v>
      </c>
      <c r="H11" s="29" t="s">
        <v>72</v>
      </c>
      <c r="I11" s="19">
        <v>7213041</v>
      </c>
      <c r="J11" s="19">
        <v>0</v>
      </c>
      <c r="K11" s="19">
        <v>278596382</v>
      </c>
    </row>
    <row r="12" spans="1:11">
      <c r="A12" s="15">
        <v>5</v>
      </c>
      <c r="B12" s="15" t="s">
        <v>234</v>
      </c>
      <c r="C12" s="15" t="s">
        <v>234</v>
      </c>
      <c r="D12" s="15" t="s">
        <v>235</v>
      </c>
      <c r="E12" s="26" t="s">
        <v>70</v>
      </c>
      <c r="F12" s="26" t="s">
        <v>236</v>
      </c>
      <c r="G12" s="26" t="s">
        <v>41</v>
      </c>
      <c r="H12" s="28" t="s">
        <v>72</v>
      </c>
      <c r="I12" s="16">
        <v>14701125</v>
      </c>
      <c r="J12" s="16">
        <v>0</v>
      </c>
      <c r="K12" s="16">
        <v>263895257</v>
      </c>
    </row>
    <row r="13" spans="1:11">
      <c r="A13" s="18">
        <v>6</v>
      </c>
      <c r="B13" s="18" t="s">
        <v>234</v>
      </c>
      <c r="C13" s="18" t="s">
        <v>234</v>
      </c>
      <c r="D13" s="18" t="s">
        <v>237</v>
      </c>
      <c r="E13" s="8" t="s">
        <v>70</v>
      </c>
      <c r="F13" s="8" t="s">
        <v>238</v>
      </c>
      <c r="G13" s="8" t="s">
        <v>43</v>
      </c>
      <c r="H13" s="29" t="s">
        <v>72</v>
      </c>
      <c r="I13" s="19">
        <v>1381976</v>
      </c>
      <c r="J13" s="19">
        <v>0</v>
      </c>
      <c r="K13" s="19">
        <v>262513281</v>
      </c>
    </row>
    <row r="14" spans="1:11">
      <c r="A14" s="15">
        <v>7</v>
      </c>
      <c r="B14" s="15" t="s">
        <v>239</v>
      </c>
      <c r="C14" s="15" t="s">
        <v>239</v>
      </c>
      <c r="D14" s="15" t="s">
        <v>240</v>
      </c>
      <c r="E14" s="26" t="s">
        <v>70</v>
      </c>
      <c r="F14" s="26" t="s">
        <v>241</v>
      </c>
      <c r="G14" s="26" t="s">
        <v>41</v>
      </c>
      <c r="H14" s="28" t="s">
        <v>72</v>
      </c>
      <c r="I14" s="16">
        <v>4760</v>
      </c>
      <c r="J14" s="16">
        <v>0</v>
      </c>
      <c r="K14" s="16">
        <v>262508521</v>
      </c>
    </row>
    <row r="15" spans="1:11">
      <c r="A15" s="18">
        <v>8</v>
      </c>
      <c r="B15" s="18" t="s">
        <v>242</v>
      </c>
      <c r="C15" s="18" t="s">
        <v>242</v>
      </c>
      <c r="D15" s="18" t="s">
        <v>243</v>
      </c>
      <c r="E15" s="8" t="s">
        <v>244</v>
      </c>
      <c r="F15" s="8" t="s">
        <v>245</v>
      </c>
      <c r="G15" s="8" t="s">
        <v>50</v>
      </c>
      <c r="H15" s="27" t="s">
        <v>67</v>
      </c>
      <c r="I15" s="19">
        <v>0</v>
      </c>
      <c r="J15" s="19">
        <v>38653300</v>
      </c>
      <c r="K15" s="19">
        <v>301161821</v>
      </c>
    </row>
    <row r="16" spans="1:11">
      <c r="A16" s="15">
        <v>9</v>
      </c>
      <c r="B16" s="15" t="s">
        <v>246</v>
      </c>
      <c r="C16" s="15" t="s">
        <v>246</v>
      </c>
      <c r="D16" s="15" t="s">
        <v>247</v>
      </c>
      <c r="E16" s="26" t="s">
        <v>84</v>
      </c>
      <c r="F16" s="26" t="s">
        <v>169</v>
      </c>
      <c r="G16" s="26" t="s">
        <v>40</v>
      </c>
      <c r="H16" s="28" t="s">
        <v>72</v>
      </c>
      <c r="I16" s="16">
        <v>38000000</v>
      </c>
      <c r="J16" s="16">
        <v>0</v>
      </c>
      <c r="K16" s="16">
        <v>263161821</v>
      </c>
    </row>
    <row r="17" spans="1:11">
      <c r="A17" s="18">
        <v>10</v>
      </c>
      <c r="B17" s="18" t="s">
        <v>248</v>
      </c>
      <c r="C17" s="18" t="s">
        <v>248</v>
      </c>
      <c r="D17" s="18" t="s">
        <v>247</v>
      </c>
      <c r="E17" s="8" t="s">
        <v>70</v>
      </c>
      <c r="F17" s="8" t="s">
        <v>171</v>
      </c>
      <c r="G17" s="8" t="s">
        <v>45</v>
      </c>
      <c r="H17" s="29" t="s">
        <v>72</v>
      </c>
      <c r="I17" s="19">
        <v>2500</v>
      </c>
      <c r="J17" s="19">
        <v>0</v>
      </c>
      <c r="K17" s="19">
        <v>263159321</v>
      </c>
    </row>
    <row r="18" spans="1:11">
      <c r="A18" s="15">
        <v>11</v>
      </c>
      <c r="B18" s="15" t="s">
        <v>249</v>
      </c>
      <c r="C18" s="15" t="s">
        <v>249</v>
      </c>
      <c r="D18" s="15" t="s">
        <v>250</v>
      </c>
      <c r="E18" s="26" t="s">
        <v>70</v>
      </c>
      <c r="F18" s="26" t="s">
        <v>251</v>
      </c>
      <c r="G18" s="26" t="s">
        <v>41</v>
      </c>
      <c r="H18" s="28" t="s">
        <v>72</v>
      </c>
      <c r="I18" s="16">
        <v>7656472</v>
      </c>
      <c r="J18" s="16">
        <v>0</v>
      </c>
      <c r="K18" s="16">
        <v>255502849</v>
      </c>
    </row>
    <row r="19" spans="1:11">
      <c r="A19" s="18">
        <v>12</v>
      </c>
      <c r="B19" s="18" t="s">
        <v>252</v>
      </c>
      <c r="C19" s="18" t="s">
        <v>252</v>
      </c>
      <c r="D19" s="18" t="s">
        <v>253</v>
      </c>
      <c r="E19" s="8" t="s">
        <v>70</v>
      </c>
      <c r="F19" s="8" t="s">
        <v>254</v>
      </c>
      <c r="G19" s="8" t="s">
        <v>41</v>
      </c>
      <c r="H19" s="29" t="s">
        <v>72</v>
      </c>
      <c r="I19" s="19">
        <v>80000</v>
      </c>
      <c r="J19" s="19">
        <v>0</v>
      </c>
      <c r="K19" s="19">
        <v>255422849</v>
      </c>
    </row>
    <row r="20" spans="1:11">
      <c r="A20" s="15">
        <v>13</v>
      </c>
      <c r="B20" s="15" t="s">
        <v>255</v>
      </c>
      <c r="C20" s="15" t="s">
        <v>255</v>
      </c>
      <c r="D20" s="15" t="s">
        <v>256</v>
      </c>
      <c r="E20" s="26" t="s">
        <v>65</v>
      </c>
      <c r="F20" s="26" t="s">
        <v>88</v>
      </c>
      <c r="G20" s="26" t="s">
        <v>45</v>
      </c>
      <c r="H20" s="30" t="s">
        <v>67</v>
      </c>
      <c r="I20" s="16">
        <v>0</v>
      </c>
      <c r="J20" s="16">
        <v>228660000</v>
      </c>
      <c r="K20" s="16">
        <v>484082849</v>
      </c>
    </row>
    <row r="21" spans="1:11">
      <c r="A21" s="18">
        <v>14</v>
      </c>
      <c r="B21" s="18" t="s">
        <v>257</v>
      </c>
      <c r="C21" s="18" t="s">
        <v>257</v>
      </c>
      <c r="D21" s="18" t="s">
        <v>258</v>
      </c>
      <c r="E21" s="8" t="s">
        <v>107</v>
      </c>
      <c r="F21" s="8" t="s">
        <v>259</v>
      </c>
      <c r="G21" s="8" t="s">
        <v>41</v>
      </c>
      <c r="H21" s="29" t="s">
        <v>72</v>
      </c>
      <c r="I21" s="19">
        <v>278708617</v>
      </c>
      <c r="J21" s="19">
        <v>0</v>
      </c>
      <c r="K21" s="19">
        <v>205374232</v>
      </c>
    </row>
    <row r="22" spans="1:11">
      <c r="A22" s="15">
        <v>15</v>
      </c>
      <c r="B22" s="15" t="s">
        <v>260</v>
      </c>
      <c r="C22" s="15" t="s">
        <v>260</v>
      </c>
      <c r="D22" s="15" t="s">
        <v>261</v>
      </c>
      <c r="E22" s="26" t="s">
        <v>262</v>
      </c>
      <c r="F22" s="26" t="s">
        <v>263</v>
      </c>
      <c r="G22" s="26" t="s">
        <v>41</v>
      </c>
      <c r="H22" s="28" t="s">
        <v>72</v>
      </c>
      <c r="I22" s="16">
        <v>64000</v>
      </c>
      <c r="J22" s="16">
        <v>0</v>
      </c>
      <c r="K22" s="16">
        <v>205310232</v>
      </c>
    </row>
    <row r="23" spans="1:11">
      <c r="A23" s="18">
        <v>16</v>
      </c>
      <c r="B23" s="18" t="s">
        <v>264</v>
      </c>
      <c r="C23" s="18" t="s">
        <v>264</v>
      </c>
      <c r="D23" s="18" t="s">
        <v>265</v>
      </c>
      <c r="E23" s="8" t="s">
        <v>266</v>
      </c>
      <c r="F23" s="8" t="s">
        <v>169</v>
      </c>
      <c r="G23" s="8" t="s">
        <v>40</v>
      </c>
      <c r="H23" s="29" t="s">
        <v>72</v>
      </c>
      <c r="I23" s="19">
        <v>148960000</v>
      </c>
      <c r="J23" s="19">
        <v>0</v>
      </c>
      <c r="K23" s="19">
        <v>56350232</v>
      </c>
    </row>
    <row r="24" spans="1:11">
      <c r="A24" s="15">
        <v>17</v>
      </c>
      <c r="B24" s="15" t="s">
        <v>267</v>
      </c>
      <c r="C24" s="15" t="s">
        <v>267</v>
      </c>
      <c r="D24" s="15" t="s">
        <v>265</v>
      </c>
      <c r="E24" s="26" t="s">
        <v>70</v>
      </c>
      <c r="F24" s="26" t="s">
        <v>171</v>
      </c>
      <c r="G24" s="26" t="s">
        <v>45</v>
      </c>
      <c r="H24" s="28" t="s">
        <v>72</v>
      </c>
      <c r="I24" s="16">
        <v>2500</v>
      </c>
      <c r="J24" s="16">
        <v>0</v>
      </c>
      <c r="K24" s="16">
        <v>56347732</v>
      </c>
    </row>
    <row r="25" spans="1:11">
      <c r="A25" s="18">
        <v>18</v>
      </c>
      <c r="B25" s="18" t="s">
        <v>268</v>
      </c>
      <c r="C25" s="18" t="s">
        <v>268</v>
      </c>
      <c r="D25" s="18" t="s">
        <v>269</v>
      </c>
      <c r="E25" s="8" t="s">
        <v>70</v>
      </c>
      <c r="F25" s="8" t="s">
        <v>182</v>
      </c>
      <c r="G25" s="8" t="s">
        <v>40</v>
      </c>
      <c r="H25" s="29" t="s">
        <v>72</v>
      </c>
      <c r="I25" s="19">
        <v>50000000</v>
      </c>
      <c r="J25" s="19">
        <v>0</v>
      </c>
      <c r="K25" s="19">
        <v>6347732</v>
      </c>
    </row>
    <row r="26" spans="1:11">
      <c r="A26" s="15">
        <v>19</v>
      </c>
      <c r="B26" s="15" t="s">
        <v>270</v>
      </c>
      <c r="C26" s="15" t="s">
        <v>270</v>
      </c>
      <c r="D26" s="15" t="s">
        <v>269</v>
      </c>
      <c r="E26" s="26" t="s">
        <v>107</v>
      </c>
      <c r="F26" s="26" t="s">
        <v>171</v>
      </c>
      <c r="G26" s="26" t="s">
        <v>45</v>
      </c>
      <c r="H26" s="28" t="s">
        <v>72</v>
      </c>
      <c r="I26" s="16">
        <v>2500</v>
      </c>
      <c r="J26" s="16">
        <v>0</v>
      </c>
      <c r="K26" s="16">
        <v>6345232</v>
      </c>
    </row>
    <row r="27" spans="1:11">
      <c r="A27" s="18">
        <v>20</v>
      </c>
      <c r="B27" s="18" t="s">
        <v>271</v>
      </c>
      <c r="C27" s="18" t="s">
        <v>271</v>
      </c>
      <c r="D27" s="18" t="s">
        <v>272</v>
      </c>
      <c r="E27" s="8" t="s">
        <v>111</v>
      </c>
      <c r="F27" s="8" t="s">
        <v>112</v>
      </c>
      <c r="G27" s="8" t="s">
        <v>47</v>
      </c>
      <c r="H27" s="27" t="s">
        <v>67</v>
      </c>
      <c r="I27" s="19">
        <v>0</v>
      </c>
      <c r="J27" s="19">
        <v>140452</v>
      </c>
      <c r="K27" s="19">
        <v>6485684</v>
      </c>
    </row>
    <row r="28" spans="1:11">
      <c r="A28" s="15">
        <v>21</v>
      </c>
      <c r="B28" s="15" t="s">
        <v>271</v>
      </c>
      <c r="C28" s="15" t="s">
        <v>271</v>
      </c>
      <c r="D28" s="15" t="s">
        <v>272</v>
      </c>
      <c r="E28" s="26" t="s">
        <v>113</v>
      </c>
      <c r="F28" s="26" t="s">
        <v>165</v>
      </c>
      <c r="G28" s="26" t="s">
        <v>49</v>
      </c>
      <c r="H28" s="28" t="s">
        <v>72</v>
      </c>
      <c r="I28" s="16">
        <v>28091</v>
      </c>
      <c r="J28" s="16">
        <v>0</v>
      </c>
      <c r="K28" s="16">
        <v>6457593</v>
      </c>
    </row>
    <row r="29" spans="1:11">
      <c r="A29" s="18">
        <v>22</v>
      </c>
      <c r="B29" s="18" t="s">
        <v>271</v>
      </c>
      <c r="C29" s="18" t="s">
        <v>271</v>
      </c>
      <c r="D29" s="18" t="s">
        <v>272</v>
      </c>
      <c r="E29" s="8" t="s">
        <v>113</v>
      </c>
      <c r="F29" s="8" t="s">
        <v>114</v>
      </c>
      <c r="G29" s="8" t="s">
        <v>48</v>
      </c>
      <c r="H29" s="29" t="s">
        <v>72</v>
      </c>
      <c r="I29" s="19">
        <v>25000</v>
      </c>
      <c r="J29" s="19">
        <v>0</v>
      </c>
      <c r="K29" s="19">
        <v>6432593</v>
      </c>
    </row>
    <row r="30" spans="1:11">
      <c r="A30" s="21"/>
      <c r="B30" s="22" t="s">
        <v>374</v>
      </c>
      <c r="C30" s="21"/>
      <c r="D30" s="21"/>
      <c r="E30" s="21"/>
      <c r="F30" s="21"/>
      <c r="G30" s="21"/>
      <c r="H30" s="21"/>
      <c r="I30" s="23">
        <f>SUM(I8:I29)</f>
        <v>551530582</v>
      </c>
      <c r="J30" s="23">
        <f>SUM(J8:J29)</f>
        <v>514791752</v>
      </c>
      <c r="K30" s="23">
        <v>6432593</v>
      </c>
    </row>
  </sheetData>
  <autoFilter ref="A7:K29"/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14" customWidth="1"/>
    <col min="2" max="2" width="23" customWidth="1"/>
    <col min="3" max="3" width="24" customWidth="1"/>
    <col min="4" max="4" width="14" customWidth="1"/>
    <col min="5" max="6" width="60" customWidth="1"/>
    <col min="7" max="7" width="25" customWidth="1"/>
    <col min="8" max="8" width="12" customWidth="1"/>
    <col min="9" max="10" width="23" customWidth="1"/>
    <col min="11" max="11" width="20" customWidth="1"/>
  </cols>
  <sheetData>
    <row r="1" spans="1:11" ht="21">
      <c r="A1" s="45" t="s">
        <v>389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4" t="s">
        <v>390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4" spans="1:11">
      <c r="A4" s="31" t="s">
        <v>377</v>
      </c>
      <c r="C4" s="32" t="s">
        <v>378</v>
      </c>
      <c r="E4" s="33" t="s">
        <v>379</v>
      </c>
      <c r="G4" s="34" t="s">
        <v>380</v>
      </c>
    </row>
    <row r="5" spans="1:11" ht="18.75">
      <c r="A5" s="35">
        <v>6432593</v>
      </c>
      <c r="C5" s="36">
        <f>SUM(I8:I39)</f>
        <v>685260678</v>
      </c>
      <c r="E5" s="37">
        <f>SUM(J8:J39)</f>
        <v>803248487</v>
      </c>
      <c r="G5" s="38">
        <v>124420402</v>
      </c>
    </row>
    <row r="7" spans="1:11" ht="27.95" customHeight="1">
      <c r="A7" s="14" t="s">
        <v>19</v>
      </c>
      <c r="B7" s="14" t="s">
        <v>54</v>
      </c>
      <c r="C7" s="14" t="s">
        <v>55</v>
      </c>
      <c r="D7" s="14" t="s">
        <v>56</v>
      </c>
      <c r="E7" s="14" t="s">
        <v>57</v>
      </c>
      <c r="F7" s="14" t="s">
        <v>58</v>
      </c>
      <c r="G7" s="14" t="s">
        <v>59</v>
      </c>
      <c r="H7" s="14" t="s">
        <v>60</v>
      </c>
      <c r="I7" s="14" t="s">
        <v>61</v>
      </c>
      <c r="J7" s="14" t="s">
        <v>62</v>
      </c>
      <c r="K7" s="14" t="s">
        <v>25</v>
      </c>
    </row>
    <row r="8" spans="1:11">
      <c r="A8" s="15">
        <v>1</v>
      </c>
      <c r="B8" s="15" t="s">
        <v>273</v>
      </c>
      <c r="C8" s="15" t="s">
        <v>273</v>
      </c>
      <c r="D8" s="15" t="s">
        <v>274</v>
      </c>
      <c r="E8" s="26" t="s">
        <v>65</v>
      </c>
      <c r="F8" s="26" t="s">
        <v>275</v>
      </c>
      <c r="G8" s="26" t="s">
        <v>40</v>
      </c>
      <c r="H8" s="30" t="s">
        <v>67</v>
      </c>
      <c r="I8" s="16">
        <v>0</v>
      </c>
      <c r="J8" s="16">
        <v>100000000</v>
      </c>
      <c r="K8" s="16">
        <v>106432593</v>
      </c>
    </row>
    <row r="9" spans="1:11">
      <c r="A9" s="18">
        <v>2</v>
      </c>
      <c r="B9" s="18" t="s">
        <v>276</v>
      </c>
      <c r="C9" s="18" t="s">
        <v>276</v>
      </c>
      <c r="D9" s="18" t="s">
        <v>277</v>
      </c>
      <c r="E9" s="8" t="s">
        <v>278</v>
      </c>
      <c r="F9" s="8" t="s">
        <v>275</v>
      </c>
      <c r="G9" s="8" t="s">
        <v>40</v>
      </c>
      <c r="H9" s="27" t="s">
        <v>67</v>
      </c>
      <c r="I9" s="19">
        <v>0</v>
      </c>
      <c r="J9" s="19">
        <v>100000000</v>
      </c>
      <c r="K9" s="19">
        <v>206432593</v>
      </c>
    </row>
    <row r="10" spans="1:11">
      <c r="A10" s="15">
        <v>3</v>
      </c>
      <c r="B10" s="15" t="s">
        <v>279</v>
      </c>
      <c r="C10" s="15" t="s">
        <v>279</v>
      </c>
      <c r="D10" s="15" t="s">
        <v>280</v>
      </c>
      <c r="E10" s="26" t="s">
        <v>84</v>
      </c>
      <c r="F10" s="26" t="s">
        <v>182</v>
      </c>
      <c r="G10" s="26" t="s">
        <v>40</v>
      </c>
      <c r="H10" s="28" t="s">
        <v>72</v>
      </c>
      <c r="I10" s="16">
        <v>100000000</v>
      </c>
      <c r="J10" s="16">
        <v>0</v>
      </c>
      <c r="K10" s="16">
        <v>106432593</v>
      </c>
    </row>
    <row r="11" spans="1:11">
      <c r="A11" s="18">
        <v>4</v>
      </c>
      <c r="B11" s="18" t="s">
        <v>281</v>
      </c>
      <c r="C11" s="18" t="s">
        <v>281</v>
      </c>
      <c r="D11" s="18" t="s">
        <v>280</v>
      </c>
      <c r="E11" s="8" t="s">
        <v>70</v>
      </c>
      <c r="F11" s="8" t="s">
        <v>171</v>
      </c>
      <c r="G11" s="8" t="s">
        <v>45</v>
      </c>
      <c r="H11" s="29" t="s">
        <v>72</v>
      </c>
      <c r="I11" s="19">
        <v>2500</v>
      </c>
      <c r="J11" s="19">
        <v>0</v>
      </c>
      <c r="K11" s="19">
        <v>106430093</v>
      </c>
    </row>
    <row r="12" spans="1:11">
      <c r="A12" s="15">
        <v>5</v>
      </c>
      <c r="B12" s="15" t="s">
        <v>282</v>
      </c>
      <c r="C12" s="15" t="s">
        <v>282</v>
      </c>
      <c r="D12" s="15" t="s">
        <v>283</v>
      </c>
      <c r="E12" s="26" t="s">
        <v>70</v>
      </c>
      <c r="F12" s="26" t="s">
        <v>284</v>
      </c>
      <c r="G12" s="26" t="s">
        <v>40</v>
      </c>
      <c r="H12" s="28" t="s">
        <v>72</v>
      </c>
      <c r="I12" s="16">
        <v>100000000</v>
      </c>
      <c r="J12" s="16">
        <v>0</v>
      </c>
      <c r="K12" s="16">
        <v>6430093</v>
      </c>
    </row>
    <row r="13" spans="1:11">
      <c r="A13" s="18">
        <v>6</v>
      </c>
      <c r="B13" s="18" t="s">
        <v>281</v>
      </c>
      <c r="C13" s="18" t="s">
        <v>281</v>
      </c>
      <c r="D13" s="18" t="s">
        <v>283</v>
      </c>
      <c r="E13" s="8" t="s">
        <v>70</v>
      </c>
      <c r="F13" s="8" t="s">
        <v>171</v>
      </c>
      <c r="G13" s="8" t="s">
        <v>45</v>
      </c>
      <c r="H13" s="29" t="s">
        <v>72</v>
      </c>
      <c r="I13" s="19">
        <v>2500</v>
      </c>
      <c r="J13" s="19">
        <v>0</v>
      </c>
      <c r="K13" s="19">
        <v>6427593</v>
      </c>
    </row>
    <row r="14" spans="1:11">
      <c r="A14" s="15">
        <v>7</v>
      </c>
      <c r="B14" s="15" t="s">
        <v>285</v>
      </c>
      <c r="C14" s="15" t="s">
        <v>285</v>
      </c>
      <c r="D14" s="15" t="s">
        <v>286</v>
      </c>
      <c r="E14" s="26" t="s">
        <v>65</v>
      </c>
      <c r="F14" s="26" t="s">
        <v>66</v>
      </c>
      <c r="G14" s="26" t="s">
        <v>40</v>
      </c>
      <c r="H14" s="30" t="s">
        <v>67</v>
      </c>
      <c r="I14" s="16">
        <v>0</v>
      </c>
      <c r="J14" s="16">
        <v>19500000</v>
      </c>
      <c r="K14" s="16">
        <v>25927593</v>
      </c>
    </row>
    <row r="15" spans="1:11">
      <c r="A15" s="18">
        <v>8</v>
      </c>
      <c r="B15" s="18" t="s">
        <v>287</v>
      </c>
      <c r="C15" s="18" t="s">
        <v>287</v>
      </c>
      <c r="D15" s="18" t="s">
        <v>288</v>
      </c>
      <c r="E15" s="8" t="s">
        <v>107</v>
      </c>
      <c r="F15" s="8" t="s">
        <v>289</v>
      </c>
      <c r="G15" s="8" t="s">
        <v>41</v>
      </c>
      <c r="H15" s="29" t="s">
        <v>72</v>
      </c>
      <c r="I15" s="19">
        <v>4700000</v>
      </c>
      <c r="J15" s="19">
        <v>0</v>
      </c>
      <c r="K15" s="19">
        <v>21227593</v>
      </c>
    </row>
    <row r="16" spans="1:11">
      <c r="A16" s="15">
        <v>9</v>
      </c>
      <c r="B16" s="15" t="s">
        <v>290</v>
      </c>
      <c r="C16" s="15" t="s">
        <v>290</v>
      </c>
      <c r="D16" s="15" t="s">
        <v>291</v>
      </c>
      <c r="E16" s="26" t="s">
        <v>292</v>
      </c>
      <c r="F16" s="26" t="s">
        <v>293</v>
      </c>
      <c r="G16" s="26" t="s">
        <v>40</v>
      </c>
      <c r="H16" s="28" t="s">
        <v>72</v>
      </c>
      <c r="I16" s="16">
        <v>14701125</v>
      </c>
      <c r="J16" s="16">
        <v>0</v>
      </c>
      <c r="K16" s="16">
        <v>6526468</v>
      </c>
    </row>
    <row r="17" spans="1:11">
      <c r="A17" s="18">
        <v>10</v>
      </c>
      <c r="B17" s="18" t="s">
        <v>294</v>
      </c>
      <c r="C17" s="18" t="s">
        <v>294</v>
      </c>
      <c r="D17" s="18" t="s">
        <v>295</v>
      </c>
      <c r="E17" s="8" t="s">
        <v>296</v>
      </c>
      <c r="F17" s="8" t="s">
        <v>297</v>
      </c>
      <c r="G17" s="8" t="s">
        <v>41</v>
      </c>
      <c r="H17" s="29" t="s">
        <v>72</v>
      </c>
      <c r="I17" s="19">
        <v>3408418</v>
      </c>
      <c r="J17" s="19">
        <v>0</v>
      </c>
      <c r="K17" s="19">
        <v>3118050</v>
      </c>
    </row>
    <row r="18" spans="1:11">
      <c r="A18" s="15">
        <v>11</v>
      </c>
      <c r="B18" s="15" t="s">
        <v>298</v>
      </c>
      <c r="C18" s="15" t="s">
        <v>298</v>
      </c>
      <c r="D18" s="15" t="s">
        <v>299</v>
      </c>
      <c r="E18" s="26" t="s">
        <v>65</v>
      </c>
      <c r="F18" s="26" t="s">
        <v>66</v>
      </c>
      <c r="G18" s="26" t="s">
        <v>40</v>
      </c>
      <c r="H18" s="30" t="s">
        <v>67</v>
      </c>
      <c r="I18" s="16">
        <v>0</v>
      </c>
      <c r="J18" s="16">
        <v>10000000</v>
      </c>
      <c r="K18" s="16">
        <v>13118050</v>
      </c>
    </row>
    <row r="19" spans="1:11">
      <c r="A19" s="18">
        <v>12</v>
      </c>
      <c r="B19" s="18" t="s">
        <v>300</v>
      </c>
      <c r="C19" s="18" t="s">
        <v>300</v>
      </c>
      <c r="D19" s="18" t="s">
        <v>301</v>
      </c>
      <c r="E19" s="8" t="s">
        <v>70</v>
      </c>
      <c r="F19" s="8" t="s">
        <v>302</v>
      </c>
      <c r="G19" s="8" t="s">
        <v>43</v>
      </c>
      <c r="H19" s="29" t="s">
        <v>72</v>
      </c>
      <c r="I19" s="19">
        <v>2763952</v>
      </c>
      <c r="J19" s="19">
        <v>0</v>
      </c>
      <c r="K19" s="19">
        <v>10354098</v>
      </c>
    </row>
    <row r="20" spans="1:11">
      <c r="A20" s="15">
        <v>13</v>
      </c>
      <c r="B20" s="15" t="s">
        <v>303</v>
      </c>
      <c r="C20" s="15" t="s">
        <v>303</v>
      </c>
      <c r="D20" s="15" t="s">
        <v>304</v>
      </c>
      <c r="E20" s="26" t="s">
        <v>65</v>
      </c>
      <c r="F20" s="26" t="s">
        <v>88</v>
      </c>
      <c r="G20" s="26" t="s">
        <v>45</v>
      </c>
      <c r="H20" s="30" t="s">
        <v>67</v>
      </c>
      <c r="I20" s="16">
        <v>0</v>
      </c>
      <c r="J20" s="16">
        <v>229548000</v>
      </c>
      <c r="K20" s="16">
        <v>239902098</v>
      </c>
    </row>
    <row r="21" spans="1:11">
      <c r="A21" s="18">
        <v>14</v>
      </c>
      <c r="B21" s="18" t="s">
        <v>305</v>
      </c>
      <c r="C21" s="18" t="s">
        <v>305</v>
      </c>
      <c r="D21" s="18" t="s">
        <v>306</v>
      </c>
      <c r="E21" s="8" t="s">
        <v>65</v>
      </c>
      <c r="F21" s="8" t="s">
        <v>307</v>
      </c>
      <c r="G21" s="8" t="s">
        <v>40</v>
      </c>
      <c r="H21" s="27" t="s">
        <v>67</v>
      </c>
      <c r="I21" s="19">
        <v>0</v>
      </c>
      <c r="J21" s="19">
        <v>26720858</v>
      </c>
      <c r="K21" s="19">
        <v>266622956</v>
      </c>
    </row>
    <row r="22" spans="1:11">
      <c r="A22" s="15">
        <v>15</v>
      </c>
      <c r="B22" s="15" t="s">
        <v>308</v>
      </c>
      <c r="C22" s="15" t="s">
        <v>308</v>
      </c>
      <c r="D22" s="15" t="s">
        <v>309</v>
      </c>
      <c r="E22" s="26" t="s">
        <v>107</v>
      </c>
      <c r="F22" s="26" t="s">
        <v>310</v>
      </c>
      <c r="G22" s="26" t="s">
        <v>41</v>
      </c>
      <c r="H22" s="28" t="s">
        <v>72</v>
      </c>
      <c r="I22" s="16">
        <v>26720858</v>
      </c>
      <c r="J22" s="16">
        <v>0</v>
      </c>
      <c r="K22" s="16">
        <v>239902098</v>
      </c>
    </row>
    <row r="23" spans="1:11">
      <c r="A23" s="18">
        <v>16</v>
      </c>
      <c r="B23" s="18" t="s">
        <v>311</v>
      </c>
      <c r="C23" s="18" t="s">
        <v>311</v>
      </c>
      <c r="D23" s="18" t="s">
        <v>312</v>
      </c>
      <c r="E23" s="8" t="s">
        <v>262</v>
      </c>
      <c r="F23" s="8" t="s">
        <v>313</v>
      </c>
      <c r="G23" s="8" t="s">
        <v>40</v>
      </c>
      <c r="H23" s="29" t="s">
        <v>72</v>
      </c>
      <c r="I23" s="19">
        <v>50000000</v>
      </c>
      <c r="J23" s="19">
        <v>0</v>
      </c>
      <c r="K23" s="19">
        <v>189902098</v>
      </c>
    </row>
    <row r="24" spans="1:11">
      <c r="A24" s="15">
        <v>17</v>
      </c>
      <c r="B24" s="15" t="s">
        <v>314</v>
      </c>
      <c r="C24" s="15" t="s">
        <v>314</v>
      </c>
      <c r="D24" s="15" t="s">
        <v>312</v>
      </c>
      <c r="E24" s="26" t="s">
        <v>266</v>
      </c>
      <c r="F24" s="26" t="s">
        <v>315</v>
      </c>
      <c r="G24" s="26" t="s">
        <v>45</v>
      </c>
      <c r="H24" s="28" t="s">
        <v>72</v>
      </c>
      <c r="I24" s="16">
        <v>2500</v>
      </c>
      <c r="J24" s="16">
        <v>0</v>
      </c>
      <c r="K24" s="16">
        <v>189899598</v>
      </c>
    </row>
    <row r="25" spans="1:11">
      <c r="A25" s="18">
        <v>18</v>
      </c>
      <c r="B25" s="18" t="s">
        <v>316</v>
      </c>
      <c r="C25" s="18" t="s">
        <v>316</v>
      </c>
      <c r="D25" s="18" t="s">
        <v>317</v>
      </c>
      <c r="E25" s="8" t="s">
        <v>70</v>
      </c>
      <c r="F25" s="8" t="s">
        <v>169</v>
      </c>
      <c r="G25" s="8" t="s">
        <v>40</v>
      </c>
      <c r="H25" s="29" t="s">
        <v>72</v>
      </c>
      <c r="I25" s="19">
        <v>50000000</v>
      </c>
      <c r="J25" s="19">
        <v>0</v>
      </c>
      <c r="K25" s="19">
        <v>139899598</v>
      </c>
    </row>
    <row r="26" spans="1:11">
      <c r="A26" s="15">
        <v>19</v>
      </c>
      <c r="B26" s="15" t="s">
        <v>314</v>
      </c>
      <c r="C26" s="15" t="s">
        <v>314</v>
      </c>
      <c r="D26" s="15" t="s">
        <v>317</v>
      </c>
      <c r="E26" s="26" t="s">
        <v>70</v>
      </c>
      <c r="F26" s="26" t="s">
        <v>171</v>
      </c>
      <c r="G26" s="26" t="s">
        <v>45</v>
      </c>
      <c r="H26" s="28" t="s">
        <v>72</v>
      </c>
      <c r="I26" s="16">
        <v>2500</v>
      </c>
      <c r="J26" s="16">
        <v>0</v>
      </c>
      <c r="K26" s="16">
        <v>139897098</v>
      </c>
    </row>
    <row r="27" spans="1:11">
      <c r="A27" s="18">
        <v>20</v>
      </c>
      <c r="B27" s="18" t="s">
        <v>318</v>
      </c>
      <c r="C27" s="18" t="s">
        <v>318</v>
      </c>
      <c r="D27" s="18" t="s">
        <v>319</v>
      </c>
      <c r="E27" s="8" t="s">
        <v>70</v>
      </c>
      <c r="F27" s="8" t="s">
        <v>169</v>
      </c>
      <c r="G27" s="8" t="s">
        <v>40</v>
      </c>
      <c r="H27" s="29" t="s">
        <v>72</v>
      </c>
      <c r="I27" s="19">
        <v>50000000</v>
      </c>
      <c r="J27" s="19">
        <v>0</v>
      </c>
      <c r="K27" s="19">
        <v>89897098</v>
      </c>
    </row>
    <row r="28" spans="1:11">
      <c r="A28" s="15">
        <v>21</v>
      </c>
      <c r="B28" s="15" t="s">
        <v>314</v>
      </c>
      <c r="C28" s="15" t="s">
        <v>314</v>
      </c>
      <c r="D28" s="15" t="s">
        <v>319</v>
      </c>
      <c r="E28" s="26" t="s">
        <v>70</v>
      </c>
      <c r="F28" s="26" t="s">
        <v>171</v>
      </c>
      <c r="G28" s="26" t="s">
        <v>45</v>
      </c>
      <c r="H28" s="28" t="s">
        <v>72</v>
      </c>
      <c r="I28" s="16">
        <v>2500</v>
      </c>
      <c r="J28" s="16">
        <v>0</v>
      </c>
      <c r="K28" s="16">
        <v>89894598</v>
      </c>
    </row>
    <row r="29" spans="1:11">
      <c r="A29" s="18">
        <v>22</v>
      </c>
      <c r="B29" s="18" t="s">
        <v>320</v>
      </c>
      <c r="C29" s="18" t="s">
        <v>320</v>
      </c>
      <c r="D29" s="18" t="s">
        <v>321</v>
      </c>
      <c r="E29" s="8" t="s">
        <v>107</v>
      </c>
      <c r="F29" s="8" t="s">
        <v>169</v>
      </c>
      <c r="G29" s="8" t="s">
        <v>40</v>
      </c>
      <c r="H29" s="29" t="s">
        <v>72</v>
      </c>
      <c r="I29" s="19">
        <v>50000000</v>
      </c>
      <c r="J29" s="19">
        <v>0</v>
      </c>
      <c r="K29" s="19">
        <v>39894598</v>
      </c>
    </row>
    <row r="30" spans="1:11">
      <c r="A30" s="15">
        <v>23</v>
      </c>
      <c r="B30" s="15" t="s">
        <v>314</v>
      </c>
      <c r="C30" s="15" t="s">
        <v>314</v>
      </c>
      <c r="D30" s="15" t="s">
        <v>321</v>
      </c>
      <c r="E30" s="26" t="s">
        <v>262</v>
      </c>
      <c r="F30" s="26" t="s">
        <v>171</v>
      </c>
      <c r="G30" s="26" t="s">
        <v>45</v>
      </c>
      <c r="H30" s="28" t="s">
        <v>72</v>
      </c>
      <c r="I30" s="16">
        <v>2500</v>
      </c>
      <c r="J30" s="16">
        <v>0</v>
      </c>
      <c r="K30" s="16">
        <v>39892098</v>
      </c>
    </row>
    <row r="31" spans="1:11">
      <c r="A31" s="18">
        <v>24</v>
      </c>
      <c r="B31" s="18" t="s">
        <v>322</v>
      </c>
      <c r="C31" s="18" t="s">
        <v>322</v>
      </c>
      <c r="D31" s="18" t="s">
        <v>323</v>
      </c>
      <c r="E31" s="8" t="s">
        <v>324</v>
      </c>
      <c r="F31" s="8" t="s">
        <v>88</v>
      </c>
      <c r="G31" s="8" t="s">
        <v>45</v>
      </c>
      <c r="H31" s="27" t="s">
        <v>67</v>
      </c>
      <c r="I31" s="19">
        <v>0</v>
      </c>
      <c r="J31" s="19">
        <v>91819200</v>
      </c>
      <c r="K31" s="19">
        <v>131711298</v>
      </c>
    </row>
    <row r="32" spans="1:11">
      <c r="A32" s="15">
        <v>25</v>
      </c>
      <c r="B32" s="15" t="s">
        <v>325</v>
      </c>
      <c r="C32" s="15" t="s">
        <v>325</v>
      </c>
      <c r="D32" s="15" t="s">
        <v>326</v>
      </c>
      <c r="E32" s="26" t="s">
        <v>65</v>
      </c>
      <c r="F32" s="26" t="s">
        <v>88</v>
      </c>
      <c r="G32" s="26" t="s">
        <v>45</v>
      </c>
      <c r="H32" s="30" t="s">
        <v>67</v>
      </c>
      <c r="I32" s="16">
        <v>0</v>
      </c>
      <c r="J32" s="16">
        <v>5610000</v>
      </c>
      <c r="K32" s="16">
        <v>137321298</v>
      </c>
    </row>
    <row r="33" spans="1:11">
      <c r="A33" s="18">
        <v>26</v>
      </c>
      <c r="B33" s="18" t="s">
        <v>327</v>
      </c>
      <c r="C33" s="18" t="s">
        <v>327</v>
      </c>
      <c r="D33" s="18" t="s">
        <v>328</v>
      </c>
      <c r="E33" s="8" t="s">
        <v>65</v>
      </c>
      <c r="F33" s="8" t="s">
        <v>88</v>
      </c>
      <c r="G33" s="8" t="s">
        <v>45</v>
      </c>
      <c r="H33" s="27" t="s">
        <v>67</v>
      </c>
      <c r="I33" s="19">
        <v>0</v>
      </c>
      <c r="J33" s="19">
        <v>100000000</v>
      </c>
      <c r="K33" s="19">
        <v>237321298</v>
      </c>
    </row>
    <row r="34" spans="1:11">
      <c r="A34" s="15">
        <v>27</v>
      </c>
      <c r="B34" s="15" t="s">
        <v>329</v>
      </c>
      <c r="C34" s="15" t="s">
        <v>329</v>
      </c>
      <c r="D34" s="15" t="s">
        <v>330</v>
      </c>
      <c r="E34" s="26" t="s">
        <v>65</v>
      </c>
      <c r="F34" s="26" t="s">
        <v>88</v>
      </c>
      <c r="G34" s="26" t="s">
        <v>45</v>
      </c>
      <c r="H34" s="30" t="s">
        <v>67</v>
      </c>
      <c r="I34" s="16">
        <v>0</v>
      </c>
      <c r="J34" s="16">
        <v>100000000</v>
      </c>
      <c r="K34" s="16">
        <v>337321298</v>
      </c>
    </row>
    <row r="35" spans="1:11">
      <c r="A35" s="18">
        <v>28</v>
      </c>
      <c r="B35" s="18" t="s">
        <v>331</v>
      </c>
      <c r="C35" s="18" t="s">
        <v>331</v>
      </c>
      <c r="D35" s="18" t="s">
        <v>332</v>
      </c>
      <c r="E35" s="8" t="s">
        <v>65</v>
      </c>
      <c r="F35" s="8" t="s">
        <v>88</v>
      </c>
      <c r="G35" s="8" t="s">
        <v>45</v>
      </c>
      <c r="H35" s="27" t="s">
        <v>67</v>
      </c>
      <c r="I35" s="19">
        <v>0</v>
      </c>
      <c r="J35" s="19">
        <v>20000000</v>
      </c>
      <c r="K35" s="19">
        <v>357321298</v>
      </c>
    </row>
    <row r="36" spans="1:11">
      <c r="A36" s="15">
        <v>29</v>
      </c>
      <c r="B36" s="15" t="s">
        <v>333</v>
      </c>
      <c r="C36" s="15" t="s">
        <v>333</v>
      </c>
      <c r="D36" s="15" t="s">
        <v>334</v>
      </c>
      <c r="E36" s="26" t="s">
        <v>107</v>
      </c>
      <c r="F36" s="26" t="s">
        <v>335</v>
      </c>
      <c r="G36" s="26" t="s">
        <v>41</v>
      </c>
      <c r="H36" s="28" t="s">
        <v>72</v>
      </c>
      <c r="I36" s="16">
        <v>232916239</v>
      </c>
      <c r="J36" s="16">
        <v>0</v>
      </c>
      <c r="K36" s="16">
        <v>124405059</v>
      </c>
    </row>
    <row r="37" spans="1:11">
      <c r="A37" s="18">
        <v>30</v>
      </c>
      <c r="B37" s="18" t="s">
        <v>336</v>
      </c>
      <c r="C37" s="18" t="s">
        <v>336</v>
      </c>
      <c r="D37" s="18" t="s">
        <v>337</v>
      </c>
      <c r="E37" s="8" t="s">
        <v>111</v>
      </c>
      <c r="F37" s="8" t="s">
        <v>112</v>
      </c>
      <c r="G37" s="8" t="s">
        <v>47</v>
      </c>
      <c r="H37" s="27" t="s">
        <v>67</v>
      </c>
      <c r="I37" s="19">
        <v>0</v>
      </c>
      <c r="J37" s="19">
        <v>50429</v>
      </c>
      <c r="K37" s="19">
        <v>124455488</v>
      </c>
    </row>
    <row r="38" spans="1:11">
      <c r="A38" s="15">
        <v>31</v>
      </c>
      <c r="B38" s="15" t="s">
        <v>336</v>
      </c>
      <c r="C38" s="15" t="s">
        <v>336</v>
      </c>
      <c r="D38" s="15" t="s">
        <v>337</v>
      </c>
      <c r="E38" s="26" t="s">
        <v>77</v>
      </c>
      <c r="F38" s="26" t="s">
        <v>165</v>
      </c>
      <c r="G38" s="26" t="s">
        <v>49</v>
      </c>
      <c r="H38" s="28" t="s">
        <v>72</v>
      </c>
      <c r="I38" s="16">
        <v>10086</v>
      </c>
      <c r="J38" s="16">
        <v>0</v>
      </c>
      <c r="K38" s="16">
        <v>124445402</v>
      </c>
    </row>
    <row r="39" spans="1:11">
      <c r="A39" s="18">
        <v>32</v>
      </c>
      <c r="B39" s="18" t="s">
        <v>338</v>
      </c>
      <c r="C39" s="18" t="s">
        <v>338</v>
      </c>
      <c r="D39" s="18" t="s">
        <v>337</v>
      </c>
      <c r="E39" s="8" t="s">
        <v>339</v>
      </c>
      <c r="F39" s="8" t="s">
        <v>114</v>
      </c>
      <c r="G39" s="8" t="s">
        <v>48</v>
      </c>
      <c r="H39" s="29" t="s">
        <v>72</v>
      </c>
      <c r="I39" s="19">
        <v>25000</v>
      </c>
      <c r="J39" s="19">
        <v>0</v>
      </c>
      <c r="K39" s="19">
        <v>124420402</v>
      </c>
    </row>
    <row r="40" spans="1:11">
      <c r="A40" s="21"/>
      <c r="B40" s="22" t="s">
        <v>374</v>
      </c>
      <c r="C40" s="21"/>
      <c r="D40" s="21"/>
      <c r="E40" s="21"/>
      <c r="F40" s="21"/>
      <c r="G40" s="21"/>
      <c r="H40" s="21"/>
      <c r="I40" s="23">
        <f>SUM(I8:I39)</f>
        <v>685260678</v>
      </c>
      <c r="J40" s="23">
        <f>SUM(J8:J39)</f>
        <v>803248487</v>
      </c>
      <c r="K40" s="23">
        <v>124420402</v>
      </c>
    </row>
  </sheetData>
  <autoFilter ref="A7:K39"/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pane ySplit="7" topLeftCell="A8" activePane="bottomLeft" state="frozen"/>
      <selection pane="bottomLeft" activeCell="C15" sqref="C15"/>
    </sheetView>
  </sheetViews>
  <sheetFormatPr defaultRowHeight="15"/>
  <cols>
    <col min="1" max="1" width="29.7109375" customWidth="1"/>
    <col min="2" max="2" width="23" customWidth="1"/>
    <col min="3" max="3" width="24" customWidth="1"/>
    <col min="4" max="4" width="14" customWidth="1"/>
    <col min="5" max="6" width="60" customWidth="1"/>
    <col min="7" max="7" width="25" customWidth="1"/>
    <col min="8" max="8" width="12" customWidth="1"/>
    <col min="9" max="10" width="23" customWidth="1"/>
    <col min="11" max="11" width="20" customWidth="1"/>
  </cols>
  <sheetData>
    <row r="1" spans="1:11" ht="21">
      <c r="A1" s="45" t="s">
        <v>391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4" t="s">
        <v>392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4" spans="1:11">
      <c r="A4" s="31" t="s">
        <v>377</v>
      </c>
      <c r="C4" s="32" t="s">
        <v>378</v>
      </c>
      <c r="E4" s="33" t="s">
        <v>379</v>
      </c>
      <c r="G4" s="34" t="s">
        <v>380</v>
      </c>
    </row>
    <row r="5" spans="1:11" ht="18.75">
      <c r="A5" s="35">
        <v>124420402</v>
      </c>
      <c r="C5" s="36">
        <f>SUM(I8:I20)</f>
        <v>284815938</v>
      </c>
      <c r="E5" s="37">
        <f>SUM(J8:J20)</f>
        <v>293219599</v>
      </c>
      <c r="G5" s="38">
        <v>132824063</v>
      </c>
    </row>
    <row r="7" spans="1:11" ht="27.95" customHeight="1">
      <c r="A7" s="14" t="s">
        <v>19</v>
      </c>
      <c r="B7" s="14" t="s">
        <v>54</v>
      </c>
      <c r="C7" s="14" t="s">
        <v>55</v>
      </c>
      <c r="D7" s="14" t="s">
        <v>56</v>
      </c>
      <c r="E7" s="14" t="s">
        <v>57</v>
      </c>
      <c r="F7" s="14" t="s">
        <v>58</v>
      </c>
      <c r="G7" s="14" t="s">
        <v>59</v>
      </c>
      <c r="H7" s="14" t="s">
        <v>60</v>
      </c>
      <c r="I7" s="14" t="s">
        <v>61</v>
      </c>
      <c r="J7" s="14" t="s">
        <v>62</v>
      </c>
      <c r="K7" s="14" t="s">
        <v>25</v>
      </c>
    </row>
    <row r="8" spans="1:11">
      <c r="A8" s="15">
        <v>1</v>
      </c>
      <c r="B8" s="15" t="s">
        <v>340</v>
      </c>
      <c r="C8" s="15" t="s">
        <v>340</v>
      </c>
      <c r="D8" s="15" t="s">
        <v>341</v>
      </c>
      <c r="E8" s="26" t="s">
        <v>77</v>
      </c>
      <c r="F8" s="26" t="s">
        <v>342</v>
      </c>
      <c r="G8" s="26" t="s">
        <v>40</v>
      </c>
      <c r="H8" s="30" t="s">
        <v>67</v>
      </c>
      <c r="I8" s="16">
        <v>0</v>
      </c>
      <c r="J8" s="16">
        <v>100000</v>
      </c>
      <c r="K8" s="16">
        <v>124520402</v>
      </c>
    </row>
    <row r="9" spans="1:11">
      <c r="A9" s="18">
        <v>2</v>
      </c>
      <c r="B9" s="18" t="s">
        <v>343</v>
      </c>
      <c r="C9" s="18" t="s">
        <v>343</v>
      </c>
      <c r="D9" s="18" t="s">
        <v>344</v>
      </c>
      <c r="E9" s="8" t="s">
        <v>65</v>
      </c>
      <c r="F9" s="8" t="s">
        <v>88</v>
      </c>
      <c r="G9" s="8" t="s">
        <v>45</v>
      </c>
      <c r="H9" s="27" t="s">
        <v>67</v>
      </c>
      <c r="I9" s="19">
        <v>0</v>
      </c>
      <c r="J9" s="19">
        <v>147000000</v>
      </c>
      <c r="K9" s="19">
        <v>271520402</v>
      </c>
    </row>
    <row r="10" spans="1:11">
      <c r="A10" s="15">
        <v>3</v>
      </c>
      <c r="B10" s="15" t="s">
        <v>345</v>
      </c>
      <c r="C10" s="15" t="s">
        <v>345</v>
      </c>
      <c r="D10" s="15" t="s">
        <v>346</v>
      </c>
      <c r="E10" s="26" t="s">
        <v>70</v>
      </c>
      <c r="F10" s="26" t="s">
        <v>347</v>
      </c>
      <c r="G10" s="26" t="s">
        <v>41</v>
      </c>
      <c r="H10" s="28" t="s">
        <v>72</v>
      </c>
      <c r="I10" s="16">
        <v>263945286</v>
      </c>
      <c r="J10" s="16">
        <v>0</v>
      </c>
      <c r="K10" s="16">
        <v>7575116</v>
      </c>
    </row>
    <row r="11" spans="1:11">
      <c r="A11" s="18">
        <v>4</v>
      </c>
      <c r="B11" s="18" t="s">
        <v>348</v>
      </c>
      <c r="C11" s="18" t="s">
        <v>348</v>
      </c>
      <c r="D11" s="18" t="s">
        <v>349</v>
      </c>
      <c r="E11" s="8" t="s">
        <v>70</v>
      </c>
      <c r="F11" s="8" t="s">
        <v>350</v>
      </c>
      <c r="G11" s="8" t="s">
        <v>41</v>
      </c>
      <c r="H11" s="29" t="s">
        <v>72</v>
      </c>
      <c r="I11" s="19">
        <v>38600</v>
      </c>
      <c r="J11" s="19">
        <v>0</v>
      </c>
      <c r="K11" s="19">
        <v>7536516</v>
      </c>
    </row>
    <row r="12" spans="1:11">
      <c r="A12" s="15">
        <v>5</v>
      </c>
      <c r="B12" s="15" t="s">
        <v>351</v>
      </c>
      <c r="C12" s="15" t="s">
        <v>351</v>
      </c>
      <c r="D12" s="15" t="s">
        <v>352</v>
      </c>
      <c r="E12" s="26" t="s">
        <v>70</v>
      </c>
      <c r="F12" s="26" t="s">
        <v>353</v>
      </c>
      <c r="G12" s="26" t="s">
        <v>41</v>
      </c>
      <c r="H12" s="28" t="s">
        <v>72</v>
      </c>
      <c r="I12" s="16">
        <v>4700000</v>
      </c>
      <c r="J12" s="16">
        <v>0</v>
      </c>
      <c r="K12" s="16">
        <v>2836516</v>
      </c>
    </row>
    <row r="13" spans="1:11">
      <c r="A13" s="18">
        <v>6</v>
      </c>
      <c r="B13" s="18" t="s">
        <v>354</v>
      </c>
      <c r="C13" s="18" t="s">
        <v>354</v>
      </c>
      <c r="D13" s="18" t="s">
        <v>355</v>
      </c>
      <c r="E13" s="8" t="s">
        <v>70</v>
      </c>
      <c r="F13" s="8" t="s">
        <v>356</v>
      </c>
      <c r="G13" s="8" t="s">
        <v>43</v>
      </c>
      <c r="H13" s="29" t="s">
        <v>72</v>
      </c>
      <c r="I13" s="19">
        <v>1381976</v>
      </c>
      <c r="J13" s="19">
        <v>0</v>
      </c>
      <c r="K13" s="19">
        <v>1454540</v>
      </c>
    </row>
    <row r="14" spans="1:11">
      <c r="A14" s="15">
        <v>7</v>
      </c>
      <c r="B14" s="15" t="s">
        <v>357</v>
      </c>
      <c r="C14" s="15" t="s">
        <v>357</v>
      </c>
      <c r="D14" s="15" t="s">
        <v>358</v>
      </c>
      <c r="E14" s="26" t="s">
        <v>65</v>
      </c>
      <c r="F14" s="26" t="s">
        <v>161</v>
      </c>
      <c r="G14" s="26" t="s">
        <v>45</v>
      </c>
      <c r="H14" s="30" t="s">
        <v>67</v>
      </c>
      <c r="I14" s="16">
        <v>0</v>
      </c>
      <c r="J14" s="16">
        <v>14800000</v>
      </c>
      <c r="K14" s="16">
        <v>16254540</v>
      </c>
    </row>
    <row r="15" spans="1:11">
      <c r="A15" s="18">
        <v>8</v>
      </c>
      <c r="B15" s="18" t="s">
        <v>359</v>
      </c>
      <c r="C15" s="18" t="s">
        <v>359</v>
      </c>
      <c r="D15" s="18" t="s">
        <v>360</v>
      </c>
      <c r="E15" s="8" t="s">
        <v>361</v>
      </c>
      <c r="F15" s="8" t="s">
        <v>362</v>
      </c>
      <c r="G15" s="8" t="s">
        <v>40</v>
      </c>
      <c r="H15" s="29" t="s">
        <v>72</v>
      </c>
      <c r="I15" s="19">
        <v>14701125</v>
      </c>
      <c r="J15" s="19">
        <v>0</v>
      </c>
      <c r="K15" s="19">
        <v>1553415</v>
      </c>
    </row>
    <row r="16" spans="1:11">
      <c r="A16" s="15">
        <v>9</v>
      </c>
      <c r="B16" s="15" t="s">
        <v>363</v>
      </c>
      <c r="C16" s="15" t="s">
        <v>363</v>
      </c>
      <c r="D16" s="15" t="s">
        <v>364</v>
      </c>
      <c r="E16" s="26" t="s">
        <v>365</v>
      </c>
      <c r="F16" s="26" t="s">
        <v>366</v>
      </c>
      <c r="G16" s="26" t="s">
        <v>41</v>
      </c>
      <c r="H16" s="28" t="s">
        <v>72</v>
      </c>
      <c r="I16" s="16">
        <v>13200</v>
      </c>
      <c r="J16" s="16">
        <v>0</v>
      </c>
      <c r="K16" s="16">
        <v>1540215</v>
      </c>
    </row>
    <row r="17" spans="1:11">
      <c r="A17" s="18">
        <v>10</v>
      </c>
      <c r="B17" s="18" t="s">
        <v>367</v>
      </c>
      <c r="C17" s="18" t="s">
        <v>367</v>
      </c>
      <c r="D17" s="18" t="s">
        <v>368</v>
      </c>
      <c r="E17" s="8" t="s">
        <v>369</v>
      </c>
      <c r="F17" s="8" t="s">
        <v>370</v>
      </c>
      <c r="G17" s="8" t="s">
        <v>50</v>
      </c>
      <c r="H17" s="27" t="s">
        <v>67</v>
      </c>
      <c r="I17" s="19">
        <v>0</v>
      </c>
      <c r="J17" s="19">
        <v>131265844</v>
      </c>
      <c r="K17" s="19">
        <v>132806059</v>
      </c>
    </row>
    <row r="18" spans="1:11">
      <c r="A18" s="15">
        <v>11</v>
      </c>
      <c r="B18" s="15" t="s">
        <v>371</v>
      </c>
      <c r="C18" s="15" t="s">
        <v>371</v>
      </c>
      <c r="D18" s="15" t="s">
        <v>372</v>
      </c>
      <c r="E18" s="26" t="s">
        <v>113</v>
      </c>
      <c r="F18" s="26" t="s">
        <v>112</v>
      </c>
      <c r="G18" s="26" t="s">
        <v>47</v>
      </c>
      <c r="H18" s="30" t="s">
        <v>67</v>
      </c>
      <c r="I18" s="16">
        <v>0</v>
      </c>
      <c r="J18" s="16">
        <v>53755</v>
      </c>
      <c r="K18" s="16">
        <v>132859814</v>
      </c>
    </row>
    <row r="19" spans="1:11">
      <c r="A19" s="18">
        <v>12</v>
      </c>
      <c r="B19" s="18" t="s">
        <v>373</v>
      </c>
      <c r="C19" s="18" t="s">
        <v>373</v>
      </c>
      <c r="D19" s="18" t="s">
        <v>372</v>
      </c>
      <c r="E19" s="8" t="s">
        <v>113</v>
      </c>
      <c r="F19" s="8" t="s">
        <v>165</v>
      </c>
      <c r="G19" s="8" t="s">
        <v>49</v>
      </c>
      <c r="H19" s="29" t="s">
        <v>72</v>
      </c>
      <c r="I19" s="19">
        <v>10751</v>
      </c>
      <c r="J19" s="19">
        <v>0</v>
      </c>
      <c r="K19" s="19">
        <v>132849063</v>
      </c>
    </row>
    <row r="20" spans="1:11">
      <c r="A20" s="15">
        <v>13</v>
      </c>
      <c r="B20" s="15" t="s">
        <v>371</v>
      </c>
      <c r="C20" s="15" t="s">
        <v>371</v>
      </c>
      <c r="D20" s="15" t="s">
        <v>372</v>
      </c>
      <c r="E20" s="26" t="s">
        <v>113</v>
      </c>
      <c r="F20" s="26" t="s">
        <v>114</v>
      </c>
      <c r="G20" s="26" t="s">
        <v>48</v>
      </c>
      <c r="H20" s="28" t="s">
        <v>72</v>
      </c>
      <c r="I20" s="16">
        <v>25000</v>
      </c>
      <c r="J20" s="16">
        <v>0</v>
      </c>
      <c r="K20" s="16">
        <v>132824063</v>
      </c>
    </row>
    <row r="21" spans="1:11">
      <c r="A21" s="21"/>
      <c r="B21" s="22" t="s">
        <v>374</v>
      </c>
      <c r="C21" s="21"/>
      <c r="D21" s="21"/>
      <c r="E21" s="21"/>
      <c r="F21" s="21"/>
      <c r="G21" s="21"/>
      <c r="H21" s="21"/>
      <c r="I21" s="23">
        <f>SUM(I8:I20)</f>
        <v>284815938</v>
      </c>
      <c r="J21" s="23">
        <f>SUM(J8:J20)</f>
        <v>293219599</v>
      </c>
      <c r="K21" s="23">
        <v>132824063</v>
      </c>
    </row>
  </sheetData>
  <autoFilter ref="A7:K20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 Ringkasan</vt:lpstr>
      <vt:lpstr>Rekap Master</vt:lpstr>
      <vt:lpstr>Jan 2026</vt:lpstr>
      <vt:lpstr>Feb 2026</vt:lpstr>
      <vt:lpstr>Mar 2026</vt:lpstr>
      <vt:lpstr>Apr 2026</vt:lpstr>
      <vt:lpstr>Mei 2026</vt:lpstr>
      <vt:lpstr>Jun 2026</vt:lpstr>
      <vt:lpstr>Jul 2026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Setiaji Eka Putra</cp:lastModifiedBy>
  <dcterms:created xsi:type="dcterms:W3CDTF">2026-08-05T02:43:35Z</dcterms:created>
  <dcterms:modified xsi:type="dcterms:W3CDTF">2026-08-05T02:47:43Z</dcterms:modified>
</cp:coreProperties>
</file>