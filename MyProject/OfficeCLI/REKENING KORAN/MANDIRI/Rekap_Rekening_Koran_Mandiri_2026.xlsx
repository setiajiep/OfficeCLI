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 activeTab="3"/>
  </bookViews>
  <sheets>
    <sheet name="Ringkasan Eksekutif" sheetId="1" r:id="rId1"/>
    <sheet name="Detail Transaksi" sheetId="2" r:id="rId2"/>
    <sheet name="Rekap Bulanan" sheetId="3" r:id="rId3"/>
    <sheet name="Penerimaan Penjualan" sheetId="4" r:id="rId4"/>
  </sheets>
  <calcPr calcId="125725"/>
</workbook>
</file>

<file path=xl/calcChain.xml><?xml version="1.0" encoding="utf-8"?>
<calcChain xmlns="http://schemas.openxmlformats.org/spreadsheetml/2006/main">
  <c r="H33" i="4"/>
  <c r="G5"/>
  <c r="E5"/>
  <c r="A5"/>
  <c r="C11" i="3"/>
  <c r="B11"/>
  <c r="D11" s="1"/>
  <c r="C10"/>
  <c r="B10"/>
  <c r="D10" s="1"/>
  <c r="C9"/>
  <c r="B9"/>
  <c r="D9" s="1"/>
  <c r="C8"/>
  <c r="D8" s="1"/>
  <c r="B8"/>
  <c r="C7"/>
  <c r="B7"/>
  <c r="D7" s="1"/>
  <c r="C6"/>
  <c r="B6"/>
  <c r="D6" s="1"/>
  <c r="C5"/>
  <c r="B5"/>
  <c r="D5" s="1"/>
  <c r="I219" i="2"/>
  <c r="H219"/>
  <c r="G39" i="1"/>
  <c r="E39"/>
  <c r="F39" s="1"/>
  <c r="D39"/>
  <c r="H39" s="1"/>
  <c r="G38"/>
  <c r="E38"/>
  <c r="F38" s="1"/>
  <c r="D38"/>
  <c r="H38" s="1"/>
  <c r="G37"/>
  <c r="E37"/>
  <c r="F37" s="1"/>
  <c r="D37"/>
  <c r="H37" s="1"/>
  <c r="G36"/>
  <c r="F36"/>
  <c r="E36"/>
  <c r="D36"/>
  <c r="H36" s="1"/>
  <c r="G35"/>
  <c r="E35"/>
  <c r="F35" s="1"/>
  <c r="D35"/>
  <c r="H35" s="1"/>
  <c r="G34"/>
  <c r="E34"/>
  <c r="F34" s="1"/>
  <c r="D34"/>
  <c r="H34" s="1"/>
  <c r="G33"/>
  <c r="E33"/>
  <c r="F33" s="1"/>
  <c r="D33"/>
  <c r="H33" s="1"/>
  <c r="G32"/>
  <c r="F32"/>
  <c r="E32"/>
  <c r="D32"/>
  <c r="H32" s="1"/>
  <c r="G31"/>
  <c r="E31"/>
  <c r="F31" s="1"/>
  <c r="D31"/>
  <c r="H31" s="1"/>
  <c r="G30"/>
  <c r="E30"/>
  <c r="F30" s="1"/>
  <c r="D30"/>
  <c r="H30" s="1"/>
  <c r="G29"/>
  <c r="E29"/>
  <c r="F29" s="1"/>
  <c r="D29"/>
  <c r="H29" s="1"/>
  <c r="G28"/>
  <c r="F28"/>
  <c r="E28"/>
  <c r="D28"/>
  <c r="H28" s="1"/>
  <c r="G27"/>
  <c r="E27"/>
  <c r="F27" s="1"/>
  <c r="D27"/>
  <c r="H27" s="1"/>
  <c r="G26"/>
  <c r="E26"/>
  <c r="F26" s="1"/>
  <c r="D26"/>
  <c r="H26" s="1"/>
  <c r="G25"/>
  <c r="E25"/>
  <c r="F25" s="1"/>
  <c r="D25"/>
  <c r="H25" s="1"/>
  <c r="G24"/>
  <c r="F24"/>
  <c r="E24"/>
  <c r="D24"/>
  <c r="H24" s="1"/>
  <c r="G23"/>
  <c r="E23"/>
  <c r="F23" s="1"/>
  <c r="D23"/>
  <c r="H23" s="1"/>
  <c r="G22"/>
  <c r="E22"/>
  <c r="F22" s="1"/>
  <c r="D22"/>
  <c r="H22" s="1"/>
  <c r="G21"/>
  <c r="E21"/>
  <c r="F21" s="1"/>
  <c r="D21"/>
  <c r="H21" s="1"/>
  <c r="G20"/>
  <c r="G40" s="1"/>
  <c r="F20"/>
  <c r="E20"/>
  <c r="E40" s="1"/>
  <c r="D20"/>
  <c r="D40" s="1"/>
  <c r="E15"/>
  <c r="C15"/>
  <c r="B15"/>
  <c r="D15" s="1"/>
  <c r="E14"/>
  <c r="C14"/>
  <c r="B14"/>
  <c r="F14" s="1"/>
  <c r="E13"/>
  <c r="D13"/>
  <c r="C13"/>
  <c r="B13"/>
  <c r="F13" s="1"/>
  <c r="E12"/>
  <c r="C12"/>
  <c r="D12" s="1"/>
  <c r="B12"/>
  <c r="F12" s="1"/>
  <c r="E11"/>
  <c r="C11"/>
  <c r="B11"/>
  <c r="D11" s="1"/>
  <c r="E10"/>
  <c r="C10"/>
  <c r="B10"/>
  <c r="F10" s="1"/>
  <c r="E9"/>
  <c r="E16" s="1"/>
  <c r="C9"/>
  <c r="C16" s="1"/>
  <c r="B9"/>
  <c r="F9" s="1"/>
  <c r="G5"/>
  <c r="F40" l="1"/>
  <c r="D10"/>
  <c r="D14"/>
  <c r="B16"/>
  <c r="D9"/>
  <c r="F11"/>
  <c r="F15"/>
  <c r="H20"/>
  <c r="H40" s="1"/>
  <c r="D16" l="1"/>
  <c r="F16"/>
</calcChain>
</file>

<file path=xl/sharedStrings.xml><?xml version="1.0" encoding="utf-8"?>
<sst xmlns="http://schemas.openxmlformats.org/spreadsheetml/2006/main" count="2061" uniqueCount="425">
  <si>
    <t>REKAPITULASI REKENING KORAN BANK MANDIRI</t>
  </si>
  <si>
    <t>No. Rekening: 1140016063946 | Pemilik: PT HIJAU SEJAHTERA BERSAMA | Periode: Januari - Juli 2026 | Mata Uang: IDR</t>
  </si>
  <si>
    <t>TOTAL TRANSAKSI</t>
  </si>
  <si>
    <t>TOTAL UANG MASUK (KREDIT)</t>
  </si>
  <si>
    <t>TOTAL UANG KELUAR (DEBET)</t>
  </si>
  <si>
    <t>NET CASH FLOW (SURPLUS)</t>
  </si>
  <si>
    <t>1. RINGKASAN ARUS KAS BULANAN (JANUARI - JULI 2026)</t>
  </si>
  <si>
    <t>Periode Bulan</t>
  </si>
  <si>
    <t>Total Masuk / Kredit (Rp)</t>
  </si>
  <si>
    <t>Total Keluar / Debet (Rp)</t>
  </si>
  <si>
    <t>Net Cash Flow (Rp)</t>
  </si>
  <si>
    <t>Jumlah Transaksi</t>
  </si>
  <si>
    <t>Rata-Rata Transaksi</t>
  </si>
  <si>
    <t>Januari 2026</t>
  </si>
  <si>
    <t>Februari 2026</t>
  </si>
  <si>
    <t>Maret 2026</t>
  </si>
  <si>
    <t>April 2026</t>
  </si>
  <si>
    <t>Mei 2026</t>
  </si>
  <si>
    <t>Juni 2026</t>
  </si>
  <si>
    <t>Juli 2026</t>
  </si>
  <si>
    <t>TOTAL ARUS KAS</t>
  </si>
  <si>
    <t>2. REKAPITULASI KATEGORI TRANSAKSI</t>
  </si>
  <si>
    <t>No</t>
  </si>
  <si>
    <t>Kategori Transaksi</t>
  </si>
  <si>
    <t>Jenis Arus Kas</t>
  </si>
  <si>
    <t>Total Debet (Pengeluaran)</t>
  </si>
  <si>
    <t>Total Kredit (Penerimaan)</t>
  </si>
  <si>
    <t>Net Cash Impact</t>
  </si>
  <si>
    <t>% Dari Total Mutasi</t>
  </si>
  <si>
    <t>Penerimaan Penjualan (PT Manambang Muara Enim)</t>
  </si>
  <si>
    <t>Uang Masuk</t>
  </si>
  <si>
    <t>Penerimaan Penjualan (PT Bio Nusantara)</t>
  </si>
  <si>
    <t>Penerimaan Penjualan (PT Sri Karya Lintasindo)</t>
  </si>
  <si>
    <t>Penerimaan Penjualan / Refund (PT Noahtu Shipyard)</t>
  </si>
  <si>
    <t>Penerimaan Penjualan (PT Dua Putra Perkasa Pratama)</t>
  </si>
  <si>
    <t>Penerimaan Penjualan (PT AKR Corporindo)</t>
  </si>
  <si>
    <t>Transfer Masuk Internal (Burhan)</t>
  </si>
  <si>
    <t>Transfer Masuk Pihak Ketiga (Hilmawan Indra Waskita)</t>
  </si>
  <si>
    <t>Transfer Masuk Pihak Ketiga (PRMA/ATM)</t>
  </si>
  <si>
    <t>Pendapatan Bunga Bank</t>
  </si>
  <si>
    <t>Transfer Keluar Internal (Burhan)</t>
  </si>
  <si>
    <t>Uang Keluar</t>
  </si>
  <si>
    <t>Penarikan Tunai Cek</t>
  </si>
  <si>
    <t>Pemindahbukuan Rekening Internal (HSB)</t>
  </si>
  <si>
    <t>Net (Masuk/Keluar)</t>
  </si>
  <si>
    <t>Transfer Keluar (Wiji Indrayani)</t>
  </si>
  <si>
    <t>Pembayaran Pembelian (PT AKR Corporindo)</t>
  </si>
  <si>
    <t>Pembayaran Angsuran Pinjaman (Auto Coll)</t>
  </si>
  <si>
    <t>Pembayaran Vendor (PT Lautan Berlian)</t>
  </si>
  <si>
    <t>Biaya Administrasi Bank &amp; Buku Cek</t>
  </si>
  <si>
    <t>Biaya Admin Transfer</t>
  </si>
  <si>
    <t>Pajak Bunga Tabungan</t>
  </si>
  <si>
    <t>TOTAL KATEGORI</t>
  </si>
  <si>
    <t>-</t>
  </si>
  <si>
    <t>DETAIL MUTASI TRANSAKSI REKENING KORAN MANDIRI</t>
  </si>
  <si>
    <t>No. Rekening: 1140016063946 | Total Transaksi: 214 Items</t>
  </si>
  <si>
    <t>Periode</t>
  </si>
  <si>
    <t>Tanggal Mutasi</t>
  </si>
  <si>
    <t>No. Rekening</t>
  </si>
  <si>
    <t>Kategori</t>
  </si>
  <si>
    <t>Deskripsi 1</t>
  </si>
  <si>
    <t>Deskripsi 2 / Remark</t>
  </si>
  <si>
    <t>Mutasi Debet (Rp)</t>
  </si>
  <si>
    <t>Mutasi Kredit (Rp)</t>
  </si>
  <si>
    <t>Kode Tran</t>
  </si>
  <si>
    <t>No. Referensi</t>
  </si>
  <si>
    <t>2026-01</t>
  </si>
  <si>
    <t>12/01/26</t>
  </si>
  <si>
    <t>1140016063946</t>
  </si>
  <si>
    <t>""</t>
  </si>
  <si>
    <t>"PT AKR CORPORINDO - 013                 "</t>
  </si>
  <si>
    <t>4777</t>
  </si>
  <si>
    <t>"15154500 15"</t>
  </si>
  <si>
    <t>"Auto Coll: 5282400641. Ang Ke 15        "</t>
  </si>
  <si>
    <t>8102</t>
  </si>
  <si>
    <t>13/01/26</t>
  </si>
  <si>
    <t xml:space="preserve">"MCM InhouseTrf  DARI MANAMBANG MUARA ENIM Transfer Fee         </t>
  </si>
  <si>
    <t>"002/HSB-KEU/I/2026                      "</t>
  </si>
  <si>
    <t>7820</t>
  </si>
  <si>
    <t>"21252500 18"</t>
  </si>
  <si>
    <t>"Auto Coll: 5752400277. Ang Ke 18        "</t>
  </si>
  <si>
    <t>"Auto Coll: 5752400278. Ang Ke 18        "</t>
  </si>
  <si>
    <t>"Auto Coll: 5282400640. Ang Ke 15        "</t>
  </si>
  <si>
    <t>"Auto Coll: 5282400639. Ang Ke 15        "</t>
  </si>
  <si>
    <t>14/01/26</t>
  </si>
  <si>
    <t>"CENAIDJA/HIJAU SEJAHTERA BERSAMA 20260114BMRIIDJA010O9930</t>
  </si>
  <si>
    <t>"202601141013977207                      "</t>
  </si>
  <si>
    <t>8060</t>
  </si>
  <si>
    <t>"20260114BMRIIDJA010O9930971764          "</t>
  </si>
  <si>
    <t>"BNINIDJA/HIJAU SEJAHTERA BERSAMA 20260114BMRIIDJA010O9930</t>
  </si>
  <si>
    <t>"202601141011974313                      "</t>
  </si>
  <si>
    <t>"20260114BMRIIDJA010O9930971769          "</t>
  </si>
  <si>
    <t>"BNINIDJA/WIJI INDRAYANI 20260114BMRIIDJA010O9930971777"</t>
  </si>
  <si>
    <t>"202601141016985916                      "</t>
  </si>
  <si>
    <t>"20260114BMRIIDJA010O9930971777          "</t>
  </si>
  <si>
    <t>"Tarik Tunai 00129846 "</t>
  </si>
  <si>
    <t>"CK 129846-JA 129846                     "</t>
  </si>
  <si>
    <t>1301</t>
  </si>
  <si>
    <t>"Buku Cek 00647651 "</t>
  </si>
  <si>
    <t>402</t>
  </si>
  <si>
    <t>"Meterai 00647651 "</t>
  </si>
  <si>
    <t>125</t>
  </si>
  <si>
    <t>23/01/26</t>
  </si>
  <si>
    <t>"MCM InhouseTrf  KE WIJI INDRAYANI Transfer Fee         202601231616728428"</t>
  </si>
  <si>
    <t>"BRINIDJA/PT HIJAU SEJAHTERA B 20260123BMRIIDJA010O9933</t>
  </si>
  <si>
    <t>"202601231617729252                      "</t>
  </si>
  <si>
    <t>"20260123BMRIIDJA010O9933156954          "</t>
  </si>
  <si>
    <t>27/01/26</t>
  </si>
  <si>
    <t>"MCM InhouseTrf  DARI MANAMBANG MUARA ENIM Transfer Fee"</t>
  </si>
  <si>
    <t>"003/HSB-KEU/I/2026 -                    "</t>
  </si>
  <si>
    <t>28/01/26</t>
  </si>
  <si>
    <t>"MCM InhouseTrf  KE WIJI INDRAYANI Transfer Fee         202601281127652693"</t>
  </si>
  <si>
    <t>31/01/26</t>
  </si>
  <si>
    <t>"Biaya Adm "</t>
  </si>
  <si>
    <t>453</t>
  </si>
  <si>
    <t>"Bunga "</t>
  </si>
  <si>
    <t>160</t>
  </si>
  <si>
    <t>"Pajak "</t>
  </si>
  <si>
    <t>198</t>
  </si>
  <si>
    <t>2026-02</t>
  </si>
  <si>
    <t>09/02/26</t>
  </si>
  <si>
    <t>15/02/26</t>
  </si>
  <si>
    <t>"BNINIDJA/HIJAU SEJAHTERA BERSAMA 20260215BMRIIDJA010O9938</t>
  </si>
  <si>
    <t>"202602151050549240                      "</t>
  </si>
  <si>
    <t>"20260215BMRIIDJA010O9938756870          "</t>
  </si>
  <si>
    <t>19/02/26</t>
  </si>
  <si>
    <t>"BRINIDJA/PT HIJAU SEJAHTERA B 013001002256309"</t>
  </si>
  <si>
    <t>"20260219BRINIDJA010O9944872345          "</t>
  </si>
  <si>
    <t>8061</t>
  </si>
  <si>
    <t>"15154500 16"</t>
  </si>
  <si>
    <t>"Auto Coll: 5282400639. Ang Ke 16        "</t>
  </si>
  <si>
    <t>"Auto Coll: 5282400640. Ang Ke 16        "</t>
  </si>
  <si>
    <t>"Auto Coll: 5282400641. Ang Ke 16        "</t>
  </si>
  <si>
    <t>"21252500 19"</t>
  </si>
  <si>
    <t>"Auto Coll: 5752400277. Ang Ke 19        "</t>
  </si>
  <si>
    <t>"Auto Coll: 5752400278. Ang Ke 19        "</t>
  </si>
  <si>
    <t>25/02/26</t>
  </si>
  <si>
    <t>"CENAIDJA/HIJAU SEJAHTERA BERSAMA 1177317888"</t>
  </si>
  <si>
    <t>"20260225CENAIDJA010O0197228790          "</t>
  </si>
  <si>
    <t>"20260225CENAIDJA010O0197306851          "</t>
  </si>
  <si>
    <t>26/02/26</t>
  </si>
  <si>
    <t>"MCM InhouseTrf  KE WIJI INDRAYANI Transfer Fee         202602261056578697"</t>
  </si>
  <si>
    <t>28/02/26</t>
  </si>
  <si>
    <t>2026-03</t>
  </si>
  <si>
    <t>02/03/26</t>
  </si>
  <si>
    <t>"21252500 20"</t>
  </si>
  <si>
    <t>"Auto Coll: 5752400278. Ang Ke 20        "</t>
  </si>
  <si>
    <t>"15154500 17"</t>
  </si>
  <si>
    <t>"Auto Coll: 5282400641. Ang Ke 17        "</t>
  </si>
  <si>
    <t>06/03/26</t>
  </si>
  <si>
    <t>"037/HSB-KEU/III/2026                    "</t>
  </si>
  <si>
    <t>"Auto Coll: 5282400640. Ang Ke 17        "</t>
  </si>
  <si>
    <t>"Auto Coll: 5282400639. Ang Ke 17        "</t>
  </si>
  <si>
    <t>"Auto Coll: 5752400277. Ang Ke 20        "</t>
  </si>
  <si>
    <t>"MCM InhouseTrf  KE BURHAN Transfer Fee         202603061737844347"</t>
  </si>
  <si>
    <t>"MCM InhouseTrf  KE WIJI INDRAYANI Transfer Fee         202603061744853330"</t>
  </si>
  <si>
    <t>07/03/26</t>
  </si>
  <si>
    <t>"BRINIDJA/BURHAN 20260307BMRIIDJA010O9934898193"</t>
  </si>
  <si>
    <t>"202603071049670590                      "</t>
  </si>
  <si>
    <t>"20260307BMRIIDJA010O9934898193          "</t>
  </si>
  <si>
    <t>"MCM InhouseTrf  KE WIJI INDRAYANI Transfer Fee         202603071049670772"</t>
  </si>
  <si>
    <t>"MCM InhouseTrf  KE BURHAN Transfer Fee         202603071056713956"</t>
  </si>
  <si>
    <t>08/03/26</t>
  </si>
  <si>
    <t>"MCM InhouseTrf  KE BURHAN Transfer Fee         202603080854525951"</t>
  </si>
  <si>
    <t>09/03/26</t>
  </si>
  <si>
    <t>"MCM InhouseTrf  KE BURHAN Transfer Fee         202603091400588898"</t>
  </si>
  <si>
    <t>10/03/26</t>
  </si>
  <si>
    <t>"MCM InhouseTrf  KE WIJI INDRAYANI Transfer Fee         202603101557838435"</t>
  </si>
  <si>
    <t>11/03/26</t>
  </si>
  <si>
    <t>"BNINIDJA/HIJAU SEJAHTERA BERSAMA 20260311BMRIIDJA010O9936</t>
  </si>
  <si>
    <t>"202603111711604452                      "</t>
  </si>
  <si>
    <t>"20260311BMRIIDJA010O9936089349          "</t>
  </si>
  <si>
    <t>12/03/26</t>
  </si>
  <si>
    <t>"CENAIDJA/HIJAU SEJAHTERA BERSAMA 20260312BMRIIDJA010O9936</t>
  </si>
  <si>
    <t>"202603121020754211                      "</t>
  </si>
  <si>
    <t>"20260312BMRIIDJA010O9936212788          "</t>
  </si>
  <si>
    <t>"BNINIDJA/WIJI INDRAYANI 20260312BMRIIDJA010O9936212793"</t>
  </si>
  <si>
    <t>"202603121022770943                      "</t>
  </si>
  <si>
    <t>"20260312BMRIIDJA010O9936212793          "</t>
  </si>
  <si>
    <t>14/03/26</t>
  </si>
  <si>
    <t>"MCM InhouseTrf  KE WIJI INDRAYANI Transfer Fee         202603141705858905"</t>
  </si>
  <si>
    <t>"PINBIDJA/LAUTAN BERLIAN UTAMA MOTOR,PT 20260314BMRIIDJA010O9937</t>
  </si>
  <si>
    <t>"202603141701857262                      "</t>
  </si>
  <si>
    <t>"20260314BMRIIDJA010O9937154629          "</t>
  </si>
  <si>
    <t>17/03/26</t>
  </si>
  <si>
    <t>"MCM InhouseTrf  KE WIJI INDRAYANI Transfer Fee         202603171523510744"</t>
  </si>
  <si>
    <t>26/03/26</t>
  </si>
  <si>
    <t>"045/HSB-KEU/III/2026                    "</t>
  </si>
  <si>
    <t>"BNINIDJA/HIJAU SEJAHTERA BERSAMA 20260326BMRIIDJA010O9930</t>
  </si>
  <si>
    <t>"202603262001938195                      "</t>
  </si>
  <si>
    <t>"MCM InhouseTrf  KE BURHAN Transfer Fee         202603262002894045"</t>
  </si>
  <si>
    <t>"20260326BMRIIDJA010O9930015440          "</t>
  </si>
  <si>
    <t>"MCM InhouseTrf  KE WIJI INDRAYANI Transfer Fee         202603262009896791"</t>
  </si>
  <si>
    <t>"202603262008896724                      "</t>
  </si>
  <si>
    <t>"20260326BMRIIDJA010O9930015878          "</t>
  </si>
  <si>
    <t>30/03/26</t>
  </si>
  <si>
    <t xml:space="preserve">"PRMA CR Transf  1140016063946       5221844701800446 </t>
  </si>
  <si>
    <t>6546</t>
  </si>
  <si>
    <t>31/03/26</t>
  </si>
  <si>
    <t>2026-04</t>
  </si>
  <si>
    <t>02/04/26</t>
  </si>
  <si>
    <t>"21252500 21"</t>
  </si>
  <si>
    <t>"Auto Coll: 5752400278. Ang Ke 21        "</t>
  </si>
  <si>
    <t>"Auto Coll: 5752400277. Ang Ke 21        "</t>
  </si>
  <si>
    <t>07/04/26</t>
  </si>
  <si>
    <t>"048/HSB-KEU/IV/2026                     "</t>
  </si>
  <si>
    <t>"043.044/HSB-KEU/III/                    "</t>
  </si>
  <si>
    <t>08/04/26</t>
  </si>
  <si>
    <t>"15154500 18"</t>
  </si>
  <si>
    <t>"Auto Coll: 5282400639. Ang Ke 18        "</t>
  </si>
  <si>
    <t>"Auto Coll: 5282400640. Ang Ke 18        "</t>
  </si>
  <si>
    <t>"Auto Coll: 5282400641. Ang Ke 18        "</t>
  </si>
  <si>
    <t>"BNINIDJA/HIJAU SEJAHTERA BERSAMA 20260408BMRIIDJA010O9932</t>
  </si>
  <si>
    <t>"202604080933861420                      "</t>
  </si>
  <si>
    <t>"20260408BMRIIDJA010O9932907232          "</t>
  </si>
  <si>
    <t>"MCM InhouseTrf  KE BURHAN Transfer Fee         202604080945881346"</t>
  </si>
  <si>
    <t>"Tarik Tunai 00129848 "</t>
  </si>
  <si>
    <t>"CK 129848-JA 129848                     "</t>
  </si>
  <si>
    <t>10/04/26</t>
  </si>
  <si>
    <t>"MCM InhouseTrf  KE BURHAN Transfer Fee         202604101335718921"</t>
  </si>
  <si>
    <t>"MCM InhouseTrf  KE WIJI INDRAYANI Transfer Fee         202604101336720946"</t>
  </si>
  <si>
    <t>17/04/26</t>
  </si>
  <si>
    <t>"049/HSB-KEU/IV/2026                     "</t>
  </si>
  <si>
    <t>18/04/26</t>
  </si>
  <si>
    <t>"MCM InhouseTrf  KE AKR CORPORINDO Transfer Fee         PO 005/PO/HSB-AKR"</t>
  </si>
  <si>
    <t>"PO 005/PO/HSB-AKR                       "</t>
  </si>
  <si>
    <t>20/04/26</t>
  </si>
  <si>
    <t>"CENAIDJA/HIJAU SEJAHTERA BERSAMA 20260420BMRIIDJA010O9935</t>
  </si>
  <si>
    <t>"202604200900771413                      "</t>
  </si>
  <si>
    <t>"20260420BMRIIDJA010O9935780941          "</t>
  </si>
  <si>
    <t>"BRINIDJA/PT HIJAU SEJAHTERA B 20260420BMRIIDJA010O9935</t>
  </si>
  <si>
    <t>"202604201012911150                      "</t>
  </si>
  <si>
    <t>"20260420BMRIIDJA010O9935822361          "</t>
  </si>
  <si>
    <t>"202604201013912994                      "</t>
  </si>
  <si>
    <t>"20260420BMRIIDJA010O9935822369          "</t>
  </si>
  <si>
    <t>"202604201014913678                      "</t>
  </si>
  <si>
    <t>"20260420BMRIIDJA010O9935823839          "</t>
  </si>
  <si>
    <t>"202604201014913293                      "</t>
  </si>
  <si>
    <t>"20260420BMRIIDJA010O9935823842          "</t>
  </si>
  <si>
    <t>"202604201015914406                      "</t>
  </si>
  <si>
    <t>"20260420BMRIIDJA010O9935825340          "</t>
  </si>
  <si>
    <t>"BRINIDJA/BURHAN 20260420BMRIIDJA010O9935835701"</t>
  </si>
  <si>
    <t>"202604201037975030                      "</t>
  </si>
  <si>
    <t>"20260420BMRIIDJA010O9935835701          "</t>
  </si>
  <si>
    <t>23/04/26</t>
  </si>
  <si>
    <t>"MCM InhouseTrf  KE WIJI INDRAYANI Transfer Fee         202604231255783375"</t>
  </si>
  <si>
    <t>"MCM InhouseTrf  KE BURHAN Transfer Fee         202604231254783024"</t>
  </si>
  <si>
    <t>"MCM InhouseTrf  KE WIJI INDRAYANI Transfer Fee         202604231338846862"</t>
  </si>
  <si>
    <t>29/04/26</t>
  </si>
  <si>
    <t>"- PT NOAHTU SHIPYARD"</t>
  </si>
  <si>
    <t>"RTGS                                    "</t>
  </si>
  <si>
    <t>4895</t>
  </si>
  <si>
    <t>30/04/26</t>
  </si>
  <si>
    <t>"MCM InhouseTrf  KE WIJI INDRAYANI Transfer Fee         202604301050597960"</t>
  </si>
  <si>
    <t>"MCM InhouseTrf  KE WIJI INDRAYANI Transfer Fee         202604301603568070"</t>
  </si>
  <si>
    <t>2026-05</t>
  </si>
  <si>
    <t>07/05/26</t>
  </si>
  <si>
    <t>"MCM InhouseTrf  DARI MANAMBANG MUARA ENIM Transfer Fee         080/HSB-</t>
  </si>
  <si>
    <t>"080/HSB-KEU/V/2026 - 080/HSB-KEU/V/2026 "</t>
  </si>
  <si>
    <t xml:space="preserve">080/HSB-KEU/V/2026 </t>
  </si>
  <si>
    <t>"MCM InhouseTrf  KE BURHAN Transfer Fee         202605072214511936"</t>
  </si>
  <si>
    <t>08/05/26</t>
  </si>
  <si>
    <t>"Tarik Tunai 00129847 "</t>
  </si>
  <si>
    <t>"CK 129847-BURHAN                        "</t>
  </si>
  <si>
    <t>"21252500 22"</t>
  </si>
  <si>
    <t>"Auto Coll: 5752400278. Ang Ke 22        "</t>
  </si>
  <si>
    <t>"Auto Coll: 5752400277. Ang Ke 22        "</t>
  </si>
  <si>
    <t>"15154500 19"</t>
  </si>
  <si>
    <t>"Auto Coll: 5282400639. Ang Ke 19        "</t>
  </si>
  <si>
    <t>"Auto Coll: 5282400640. Ang Ke 19        "</t>
  </si>
  <si>
    <t>"Auto Coll: 5282400641. Ang Ke 19        "</t>
  </si>
  <si>
    <t>"BNINIDJA/HIJAU SEJAHTERA BERSAMA 20260508BMRIIDJA010O9932</t>
  </si>
  <si>
    <t>"202605081054691449                      "</t>
  </si>
  <si>
    <t>"20260508BMRIIDJA010O9932241630          "</t>
  </si>
  <si>
    <t>"202605081118753638                      "</t>
  </si>
  <si>
    <t>"20260508BMRIIDJA010O9932254992          "</t>
  </si>
  <si>
    <t>"MCM InhouseTrf  KE WIJI INDRAYANI Transfer Fee         202605081123765618"</t>
  </si>
  <si>
    <t>12/05/26</t>
  </si>
  <si>
    <t>"MCM InhouseTrf  DARI BURHAN "</t>
  </si>
  <si>
    <t>"20260512CENAIDJA010O0145247604          "</t>
  </si>
  <si>
    <t>"MCM InhouseTrf  KE AKR CORPORINDO Transfer Fee         202605121143594760"</t>
  </si>
  <si>
    <t>"MCM InhouseTrf  DARI SRI KARYA LINTASINDO Transfer Fee         Pemby BBM"</t>
  </si>
  <si>
    <t>"Pemby BBM                               "</t>
  </si>
  <si>
    <t>13/05/26</t>
  </si>
  <si>
    <t>"MCM InhouseTrf  KE WIJI INDRAYANI Transfer Fee         202605131001579458"</t>
  </si>
  <si>
    <t>"MCM InhouseTrf  KE BURHAN Transfer Fee         202605131000572853"</t>
  </si>
  <si>
    <t>25/05/26</t>
  </si>
  <si>
    <t>"092/HSB-KEU/V/2026 -                    "</t>
  </si>
  <si>
    <t>26/05/26</t>
  </si>
  <si>
    <t>"Tarik Tunai 00129849 "</t>
  </si>
  <si>
    <t>"CK 129849-JA 129849                     "</t>
  </si>
  <si>
    <t>28/05/26</t>
  </si>
  <si>
    <t>"MCM InhouseTrf  KE WIJI INDRAYANI Transfer Fee         202605282015754532"</t>
  </si>
  <si>
    <t>29/05/26</t>
  </si>
  <si>
    <t>"BNINIDJA/HIJAU SEJAHTERA BERSAMA 20260529BMRIIDJA010O9937</t>
  </si>
  <si>
    <t>"202605291300875953                      "</t>
  </si>
  <si>
    <t>"20260529BMRIIDJA010O9937952706          "</t>
  </si>
  <si>
    <t>31/05/26</t>
  </si>
  <si>
    <t>2026-06</t>
  </si>
  <si>
    <t>05/06/26</t>
  </si>
  <si>
    <t>"BRINIDJA/HILMAWAN INDRA WASKI 032901052921505"</t>
  </si>
  <si>
    <t>"20260605BRINIDJA010O0237226533          "</t>
  </si>
  <si>
    <t>"15154500 20"</t>
  </si>
  <si>
    <t>"Auto Coll: 5282400639. Ang Ke 20        "</t>
  </si>
  <si>
    <t>"Auto Coll: 5282400640. Ang Ke 20        "</t>
  </si>
  <si>
    <t>"Auto Coll: 5282400641. Ang Ke 20        "</t>
  </si>
  <si>
    <t>"21252500 23"</t>
  </si>
  <si>
    <t>"Auto Coll: 5752400278. Ang Ke 23        "</t>
  </si>
  <si>
    <t>"Auto Coll: 5752400277. Ang Ke 23        "</t>
  </si>
  <si>
    <t>"MCM InhouseTrf  KE AKR CORPORINDO Transfer Fee         202606051828956280"</t>
  </si>
  <si>
    <t>"MCM InhouseTrf  KE WIJI INDRAYANI Transfer Fee         202606051832959835"</t>
  </si>
  <si>
    <t>08/06/26</t>
  </si>
  <si>
    <t>"20260608BRINIDJA010O0284248779          "</t>
  </si>
  <si>
    <t>"MCM InhouseTrf  KE AKR CORPORINDO Transfer Fee         202606081004660502"</t>
  </si>
  <si>
    <t>"MCM InhouseTrf  DARI MANAMBANG MUARA ENIM Transfer Fee         121/HSB-</t>
  </si>
  <si>
    <t>"121/HSB-KEU/VI/2026  121/HSB-KEU/VI/2026"</t>
  </si>
  <si>
    <t>121/HSB-KEU/VI/2026</t>
  </si>
  <si>
    <t>"MCM InhouseTrf  KE WIJI INDRAYANI Transfer Fee         202606081430610826"</t>
  </si>
  <si>
    <t>"MCM InhouseTrf  KE BURHAN Transfer Fee         202606081428609233"</t>
  </si>
  <si>
    <t>"MCM InhouseTrf  KE BURHAN Transfer Fee         202606081429610155"</t>
  </si>
  <si>
    <t>09/06/26</t>
  </si>
  <si>
    <t>"MCM InhouseTrf  KE WIJI INDRAYANI Transfer Fee         202606090946798566"</t>
  </si>
  <si>
    <t>10/06/26</t>
  </si>
  <si>
    <t>"DUA PUTRA PERKASA PRATAMA - 536         "</t>
  </si>
  <si>
    <t>"MCM InhouseTrf  KE WIJI INDRAYANI Transfer Fee         202606101332669409"</t>
  </si>
  <si>
    <t>"MCM InhouseTrf  KE BURHAN Transfer Fee         202606101326655755"</t>
  </si>
  <si>
    <t>12/06/26</t>
  </si>
  <si>
    <t>"MCM InhouseTrf  KE AKR CORPORINDO Transfer Fee         202606121007522785"</t>
  </si>
  <si>
    <t>"Bayar PO 010                            "</t>
  </si>
  <si>
    <t>17/06/26</t>
  </si>
  <si>
    <t>"MCM InhouseTrf  KE AKR CORPORINDO Transfer Fee         202606171300710807"</t>
  </si>
  <si>
    <t>"128/HSB-KEU/VI/2026                     "</t>
  </si>
  <si>
    <t>"MCM InhouseTrf  KE BURHAN Transfer Fee         202606171710649610"</t>
  </si>
  <si>
    <t>"MCM InhouseTrf  KE WIJI INDRAYANI Transfer Fee         202606171904717973"</t>
  </si>
  <si>
    <t>18/06/26</t>
  </si>
  <si>
    <t>"MCM InhouseTrf  KE WIJI INDRAYANI Transfer Fee         202606181629625819"</t>
  </si>
  <si>
    <t>"BNINIDJA/HIJAU SEJAHTERA BERSAMA 20260618BMRIIDJA010O9934</t>
  </si>
  <si>
    <t>"202606181619611038                      "</t>
  </si>
  <si>
    <t>"20260618BMRIIDJA010O9934704694          "</t>
  </si>
  <si>
    <t>23/06/26</t>
  </si>
  <si>
    <t>"122-124.131/HSB-KEU/                    "</t>
  </si>
  <si>
    <t>24/06/26</t>
  </si>
  <si>
    <t>"MCM InhouseTrf  KE WIJI INDRAYANI Transfer Fee         202606241420726017"</t>
  </si>
  <si>
    <t>"BNINIDJA/HIJAU SEJAHTERA BERSAMA 20260624BMRIIDJA010O9936</t>
  </si>
  <si>
    <t>"202606241421728913                      "</t>
  </si>
  <si>
    <t>"20260624BMRIIDJA010O9936256676          "</t>
  </si>
  <si>
    <t>"202606241422730547                      "</t>
  </si>
  <si>
    <t>"20260624BMRIIDJA010O9936256682          "</t>
  </si>
  <si>
    <t>"MCM InhouseTrf  KE BURHAN Transfer Fee         202606241445778155"</t>
  </si>
  <si>
    <t>26/06/26</t>
  </si>
  <si>
    <t>"MCM InhouseTrf  KE WIJI INDRAYANI Transfer Fee         202606261341905418"</t>
  </si>
  <si>
    <t>29/06/26</t>
  </si>
  <si>
    <t>"BNINIDJA/HIJAU SEJAHTERA BERSAMA 20260629BMRIIDJA010O9937</t>
  </si>
  <si>
    <t>"202606290928921855                      "</t>
  </si>
  <si>
    <t>"20260629BMRIIDJA010O9937483718          "</t>
  </si>
  <si>
    <t>"202606290930927281                      "</t>
  </si>
  <si>
    <t>"20260629BMRIIDJA010O9937483845          "</t>
  </si>
  <si>
    <t>"202606290930924694                      "</t>
  </si>
  <si>
    <t>"20260629BMRIIDJA010O9937484752          "</t>
  </si>
  <si>
    <t>"MCM InhouseTrf  DARI BIO NUSANTARA TEKNOLOGI BENGKULU Transfer Fee"</t>
  </si>
  <si>
    <t>"BIO SOLAR INDUSTRI                      "</t>
  </si>
  <si>
    <t>30/06/26</t>
  </si>
  <si>
    <t>2026-07</t>
  </si>
  <si>
    <t>01/07/26</t>
  </si>
  <si>
    <t>"MCM InhouseTrf  KE BURHAN Transfer Fee         202607010946852211"</t>
  </si>
  <si>
    <t>03/07/26</t>
  </si>
  <si>
    <t>"MCM InhouseTrf  DARI MANAMBANG MUARA ENIM Transfer Fee         154/HSB-</t>
  </si>
  <si>
    <t>"154/HSB-KEU/VII/2026 154/HSB-KEU/VII/202"</t>
  </si>
  <si>
    <t>154/HSB-KEU/VII/202</t>
  </si>
  <si>
    <t>"MCM InhouseTrf  KE WIJI INDRAYANI Transfer Fee         202607031436876761"</t>
  </si>
  <si>
    <t>06/07/26</t>
  </si>
  <si>
    <t>"MCM InhouseTrf  KE BURHAN Transfer Fee         202607061531653045"</t>
  </si>
  <si>
    <t>09/07/26</t>
  </si>
  <si>
    <t>"158/HSB-KEU/VII/2026                    "</t>
  </si>
  <si>
    <t>"21252500 24"</t>
  </si>
  <si>
    <t>"Auto Coll: 5752400277. Ang Ke 24        "</t>
  </si>
  <si>
    <t>"Auto Coll: 5752400278. Ang Ke 24        "</t>
  </si>
  <si>
    <t>"MCM InhouseTrf  KE BURHAN Transfer Fee         202607091528841868"</t>
  </si>
  <si>
    <t>"BNINIDJA/HIJAU SEJAHTERA BERSAMA 20260709BMRIIDJA010O9932</t>
  </si>
  <si>
    <t>"202607091615921237                      "</t>
  </si>
  <si>
    <t>"20260709BMRIIDJA010O9932135364          "</t>
  </si>
  <si>
    <t>"15154500 21"</t>
  </si>
  <si>
    <t>"Auto Coll: 5282400639. Ang Ke 21        "</t>
  </si>
  <si>
    <t>"Auto Coll: 5282400640. Ang Ke 21        "</t>
  </si>
  <si>
    <t>"Auto Coll: 5282400641. Ang Ke 21        "</t>
  </si>
  <si>
    <t>14/07/26</t>
  </si>
  <si>
    <t>"BNINIDJA/HIJAU SEJAHTERA BERSAMA 20260714BMRIIDJA010O9933</t>
  </si>
  <si>
    <t>"202607140857946661                      "</t>
  </si>
  <si>
    <t>"20260714BMRIIDJA010O9933241794          "</t>
  </si>
  <si>
    <t>21/07/26</t>
  </si>
  <si>
    <t>"172/HSB-KEU/VII/2026                    "</t>
  </si>
  <si>
    <t>22/07/26</t>
  </si>
  <si>
    <t>"Tarik Tunai 00129850 "</t>
  </si>
  <si>
    <t>"CK 129850-                              "</t>
  </si>
  <si>
    <t>28/07/26</t>
  </si>
  <si>
    <t>"PT.MANAMBANG MUARA ENIM - 022           "</t>
  </si>
  <si>
    <t>31/07/26</t>
  </si>
  <si>
    <t>TOTAL</t>
  </si>
  <si>
    <t>REKAPITULASI DETAIL PER BULAN</t>
  </si>
  <si>
    <t>Breakdown Mutasi &amp; Transaksi Terbesar Per Bulan (Januari - Juli 2026)</t>
  </si>
  <si>
    <t>Bulan</t>
  </si>
  <si>
    <t>Total Uang Masuk</t>
  </si>
  <si>
    <t>Total Uang Keluar</t>
  </si>
  <si>
    <t>Net Cash Flow</t>
  </si>
  <si>
    <t>Jml Tran</t>
  </si>
  <si>
    <t>Transaksi Masuk Terbesar</t>
  </si>
  <si>
    <t>Nominal (Rp)</t>
  </si>
  <si>
    <t>Transaksi Keluar Terbesar</t>
  </si>
  <si>
    <t>"MCM InhouseTrf  DARI MANAMBANG MUARA ENIM Tr</t>
  </si>
  <si>
    <t xml:space="preserve">"Tarik Tunai 00129846 " "CK 129846-JA 129846 </t>
  </si>
  <si>
    <t>"BRINIDJA/PT HIJAU SEJAHTERA B 01300100225630</t>
  </si>
  <si>
    <t xml:space="preserve">"21252500 19" "Auto Coll: 5752400277. Ang Ke </t>
  </si>
  <si>
    <t xml:space="preserve">"MCM InhouseTrf  KE BURHAN Transfer Fee      </t>
  </si>
  <si>
    <t xml:space="preserve">"Tarik Tunai 00129848 " "CK 129848-JA 129848 </t>
  </si>
  <si>
    <t xml:space="preserve">"Tarik Tunai 00129847 " "CK 129847-BURHAN    </t>
  </si>
  <si>
    <t xml:space="preserve">"Tarik Tunai 00129850 " "CK 129850-          </t>
  </si>
  <si>
    <t>DETAIL PENERIMAAN PENJUALAN &amp; CLIENT TRANSFERS</t>
  </si>
  <si>
    <t>No. Rekening: 1140016063946 | Periode: Januari - Juli 2026 | Rekapitulasi Pembayaran Pelanggan Utam</t>
  </si>
  <si>
    <t>TOTAL PENERIMAAN PENJUALAN</t>
  </si>
  <si>
    <t>JUMLAH TRANSAKSI</t>
  </si>
  <si>
    <t>TRANSAKSI TERBESAR</t>
  </si>
  <si>
    <t>RATA-RATA PER TRANSAKSI</t>
  </si>
  <si>
    <t>Pelanggan / Kategori</t>
  </si>
  <si>
    <t>Nominal Kredit / Masuk (Rp)</t>
  </si>
  <si>
    <t>TOTAL PENERIMAAN</t>
  </si>
</sst>
</file>

<file path=xl/styles.xml><?xml version="1.0" encoding="utf-8"?>
<styleSheet xmlns="http://schemas.openxmlformats.org/spreadsheetml/2006/main">
  <numFmts count="1">
    <numFmt numFmtId="164" formatCode="\R\p\ #,##0.00;[Red]\(\R\p\ #,##0.00\);&quot;-&quot;"/>
  </numFmts>
  <fonts count="13">
    <font>
      <sz val="11"/>
      <color theme="1"/>
      <name val="Calibri"/>
      <family val="2"/>
      <scheme val="minor"/>
    </font>
    <font>
      <b/>
      <sz val="16"/>
      <color rgb="FF0F4C81"/>
      <name val="Segoe UI"/>
    </font>
    <font>
      <i/>
      <sz val="10"/>
      <color rgb="FF595959"/>
      <name val="Segoe UI"/>
    </font>
    <font>
      <b/>
      <sz val="9"/>
      <color rgb="FF595959"/>
      <name val="Segoe UI"/>
    </font>
    <font>
      <b/>
      <sz val="14"/>
      <color rgb="FF0F4C81"/>
      <name val="Segoe UI"/>
    </font>
    <font>
      <b/>
      <sz val="14"/>
      <color rgb="FF1E7E34"/>
      <name val="Segoe UI"/>
    </font>
    <font>
      <b/>
      <sz val="14"/>
      <color rgb="FFBD2130"/>
      <name val="Segoe UI"/>
    </font>
    <font>
      <b/>
      <sz val="12"/>
      <color rgb="FF0F4C81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sz val="10"/>
      <color rgb="FF1E7E34"/>
      <name val="Segoe UI"/>
    </font>
    <font>
      <sz val="10"/>
      <color rgb="FFBD213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0F4C81"/>
        <bgColor rgb="FF0F4C81"/>
      </patternFill>
    </fill>
    <fill>
      <patternFill patternType="solid">
        <fgColor rgb="FFF8FAFC"/>
        <bgColor rgb="FFF8FAFC"/>
      </patternFill>
    </fill>
    <fill>
      <patternFill patternType="solid">
        <fgColor rgb="FFD0E1F9"/>
        <bgColor rgb="FFD0E1F9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81"/>
      </bottom>
      <diagonal/>
    </border>
    <border>
      <left style="thin">
        <color rgb="FFD1D5DB"/>
      </left>
      <right style="thin">
        <color rgb="FFD1D5DB"/>
      </right>
      <top style="thin">
        <color rgb="FF0F4C81"/>
      </top>
      <bottom style="double">
        <color rgb="FF0F4C8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3" fontId="9" fillId="4" borderId="1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164" fontId="10" fillId="5" borderId="3" xfId="0" applyNumberFormat="1" applyFont="1" applyFill="1" applyBorder="1" applyAlignment="1">
      <alignment horizontal="right" vertical="center"/>
    </xf>
    <xf numFmtId="3" fontId="10" fillId="5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/>
    <xf numFmtId="10" fontId="9" fillId="0" borderId="1" xfId="0" applyNumberFormat="1" applyFont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/>
    <xf numFmtId="10" fontId="9" fillId="4" borderId="1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10" fontId="10" fillId="5" borderId="3" xfId="0" applyNumberFormat="1" applyFont="1" applyFill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12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5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cols>
    <col min="1" max="1" width="45" customWidth="1"/>
    <col min="2" max="2" width="49.140625" customWidth="1"/>
    <col min="3" max="3" width="28" customWidth="1"/>
    <col min="4" max="4" width="25" customWidth="1"/>
    <col min="5" max="5" width="20.7109375" customWidth="1"/>
    <col min="6" max="6" width="22" customWidth="1"/>
  </cols>
  <sheetData>
    <row r="1" spans="1:8" ht="25.5">
      <c r="A1" s="1" t="s">
        <v>0</v>
      </c>
    </row>
    <row r="2" spans="1:8">
      <c r="A2" s="2" t="s">
        <v>1</v>
      </c>
    </row>
    <row r="4" spans="1:8">
      <c r="A4" s="34" t="s">
        <v>2</v>
      </c>
      <c r="B4" s="35"/>
      <c r="C4" s="34" t="s">
        <v>3</v>
      </c>
      <c r="D4" s="35"/>
      <c r="E4" s="34" t="s">
        <v>4</v>
      </c>
      <c r="F4" s="35"/>
      <c r="G4" s="34" t="s">
        <v>5</v>
      </c>
      <c r="H4" s="35"/>
    </row>
    <row r="5" spans="1:8" ht="20.25">
      <c r="A5" s="37">
        <v>214</v>
      </c>
      <c r="B5" s="35"/>
      <c r="C5" s="36">
        <v>18510919019.150002</v>
      </c>
      <c r="D5" s="35"/>
      <c r="E5" s="39">
        <v>17535710703.439999</v>
      </c>
      <c r="F5" s="35"/>
      <c r="G5" s="38">
        <f>C5-E5</f>
        <v>975208315.7100029</v>
      </c>
      <c r="H5" s="35"/>
    </row>
    <row r="7" spans="1:8" ht="17.25">
      <c r="A7" s="3" t="s">
        <v>6</v>
      </c>
    </row>
    <row r="8" spans="1:8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</row>
    <row r="9" spans="1:8">
      <c r="A9" s="5" t="s">
        <v>13</v>
      </c>
      <c r="B9" s="6">
        <f>SUMIFS('Detail Transaksi'!I:I, 'Detail Transaksi'!B:B, "2026-01")</f>
        <v>1176846175.9100001</v>
      </c>
      <c r="C9" s="6">
        <f>SUMIFS('Detail Transaksi'!H:H, 'Detail Transaksi'!B:B, "2026-01")</f>
        <v>1176284535.1800001</v>
      </c>
      <c r="D9" s="6">
        <f t="shared" ref="D9:D16" si="0">B9-C9</f>
        <v>561640.73000001907</v>
      </c>
      <c r="E9" s="7">
        <f>COUNTIFS('Detail Transaksi'!B:B, "2026-01")</f>
        <v>24</v>
      </c>
      <c r="F9" s="6">
        <f t="shared" ref="F9:F16" si="1">(B9+C9)/E9</f>
        <v>98047112.96208334</v>
      </c>
    </row>
    <row r="10" spans="1:8">
      <c r="A10" s="8" t="s">
        <v>14</v>
      </c>
      <c r="B10" s="9">
        <f>SUMIFS('Detail Transaksi'!I:I, 'Detail Transaksi'!B:B, "2026-02")</f>
        <v>113820070.31</v>
      </c>
      <c r="C10" s="9">
        <f>SUMIFS('Detail Transaksi'!H:H, 'Detail Transaksi'!B:B, "2026-02")</f>
        <v>110996414.06</v>
      </c>
      <c r="D10" s="9">
        <f t="shared" si="0"/>
        <v>2823656.25</v>
      </c>
      <c r="E10" s="10">
        <f>COUNTIFS('Detail Transaksi'!B:B, "2026-02")</f>
        <v>15</v>
      </c>
      <c r="F10" s="9">
        <f t="shared" si="1"/>
        <v>14987765.624666667</v>
      </c>
    </row>
    <row r="11" spans="1:8">
      <c r="A11" s="5" t="s">
        <v>15</v>
      </c>
      <c r="B11" s="6">
        <f>SUMIFS('Detail Transaksi'!I:I, 'Detail Transaksi'!B:B, "2026-03")</f>
        <v>2095073436.1800001</v>
      </c>
      <c r="C11" s="6">
        <f>SUMIFS('Detail Transaksi'!H:H, 'Detail Transaksi'!B:B, "2026-03")</f>
        <v>2050213644.24</v>
      </c>
      <c r="D11" s="6">
        <f t="shared" si="0"/>
        <v>44859791.940000057</v>
      </c>
      <c r="E11" s="7">
        <f>COUNTIFS('Detail Transaksi'!B:B, "2026-03")</f>
        <v>38</v>
      </c>
      <c r="F11" s="6">
        <f t="shared" si="1"/>
        <v>109086502.1163158</v>
      </c>
    </row>
    <row r="12" spans="1:8">
      <c r="A12" s="8" t="s">
        <v>16</v>
      </c>
      <c r="B12" s="9">
        <f>SUMIFS('Detail Transaksi'!I:I, 'Detail Transaksi'!B:B, "2026-04")</f>
        <v>3290407368.8299999</v>
      </c>
      <c r="C12" s="9">
        <f>SUMIFS('Detail Transaksi'!H:H, 'Detail Transaksi'!B:B, "2026-04")</f>
        <v>3331203364.1700001</v>
      </c>
      <c r="D12" s="9">
        <f t="shared" si="0"/>
        <v>-40795995.340000153</v>
      </c>
      <c r="E12" s="10">
        <f>COUNTIFS('Detail Transaksi'!B:B, "2026-04")</f>
        <v>38</v>
      </c>
      <c r="F12" s="9">
        <f t="shared" si="1"/>
        <v>174252914.02631578</v>
      </c>
    </row>
    <row r="13" spans="1:8">
      <c r="A13" s="5" t="s">
        <v>17</v>
      </c>
      <c r="B13" s="6">
        <f>SUMIFS('Detail Transaksi'!I:I, 'Detail Transaksi'!B:B, "2026-05")</f>
        <v>3530441602.6399999</v>
      </c>
      <c r="C13" s="6">
        <f>SUMIFS('Detail Transaksi'!H:H, 'Detail Transaksi'!B:B, "2026-05")</f>
        <v>3530936920.5300002</v>
      </c>
      <c r="D13" s="6">
        <f t="shared" si="0"/>
        <v>-495317.89000034332</v>
      </c>
      <c r="E13" s="7">
        <f>COUNTIFS('Detail Transaksi'!B:B, "2026-05")</f>
        <v>27</v>
      </c>
      <c r="F13" s="6">
        <f t="shared" si="1"/>
        <v>261532537.8951852</v>
      </c>
    </row>
    <row r="14" spans="1:8">
      <c r="A14" s="8" t="s">
        <v>18</v>
      </c>
      <c r="B14" s="9">
        <f>SUMIFS('Detail Transaksi'!I:I, 'Detail Transaksi'!B:B, "2026-06")</f>
        <v>4677736172.25</v>
      </c>
      <c r="C14" s="9">
        <f>SUMIFS('Detail Transaksi'!H:H, 'Detail Transaksi'!B:B, "2026-06")</f>
        <v>4413740682.4499998</v>
      </c>
      <c r="D14" s="9">
        <f t="shared" si="0"/>
        <v>263995489.80000019</v>
      </c>
      <c r="E14" s="10">
        <f>COUNTIFS('Detail Transaksi'!B:B, "2026-06")</f>
        <v>49</v>
      </c>
      <c r="F14" s="9">
        <f t="shared" si="1"/>
        <v>185540343.97346941</v>
      </c>
    </row>
    <row r="15" spans="1:8">
      <c r="A15" s="5" t="s">
        <v>19</v>
      </c>
      <c r="B15" s="6">
        <f>SUMIFS('Detail Transaksi'!I:I, 'Detail Transaksi'!B:B, "2026-07")</f>
        <v>3626594193.0300002</v>
      </c>
      <c r="C15" s="6">
        <f>SUMIFS('Detail Transaksi'!H:H, 'Detail Transaksi'!B:B, "2026-07")</f>
        <v>2922335142.8099999</v>
      </c>
      <c r="D15" s="6">
        <f t="shared" si="0"/>
        <v>704259050.22000027</v>
      </c>
      <c r="E15" s="7">
        <f>COUNTIFS('Detail Transaksi'!B:B, "2026-07")</f>
        <v>23</v>
      </c>
      <c r="F15" s="6">
        <f t="shared" si="1"/>
        <v>284736058.07999998</v>
      </c>
    </row>
    <row r="16" spans="1:8">
      <c r="A16" s="11" t="s">
        <v>20</v>
      </c>
      <c r="B16" s="12">
        <f>SUM(B9:B15)</f>
        <v>18510919019.149998</v>
      </c>
      <c r="C16" s="12">
        <f>SUM(C9:C15)</f>
        <v>17535710703.440002</v>
      </c>
      <c r="D16" s="12">
        <f t="shared" si="0"/>
        <v>975208315.70999527</v>
      </c>
      <c r="E16" s="13">
        <f>SUM(E9:E15)</f>
        <v>214</v>
      </c>
      <c r="F16" s="12">
        <f t="shared" si="1"/>
        <v>168442194.96537381</v>
      </c>
    </row>
    <row r="18" spans="1:8" ht="17.25">
      <c r="A18" s="3" t="s">
        <v>21</v>
      </c>
    </row>
    <row r="19" spans="1:8" ht="42.75">
      <c r="A19" s="4" t="s">
        <v>22</v>
      </c>
      <c r="B19" s="4" t="s">
        <v>23</v>
      </c>
      <c r="C19" s="4" t="s">
        <v>24</v>
      </c>
      <c r="D19" s="4" t="s">
        <v>25</v>
      </c>
      <c r="E19" s="4" t="s">
        <v>26</v>
      </c>
      <c r="F19" s="4" t="s">
        <v>27</v>
      </c>
      <c r="G19" s="4" t="s">
        <v>11</v>
      </c>
      <c r="H19" s="4" t="s">
        <v>28</v>
      </c>
    </row>
    <row r="20" spans="1:8">
      <c r="A20" s="14">
        <v>1</v>
      </c>
      <c r="B20" s="5" t="s">
        <v>29</v>
      </c>
      <c r="C20" s="14" t="s">
        <v>30</v>
      </c>
      <c r="D20" s="6">
        <f>SUMIFS('Detail Transaksi'!H:H, 'Detail Transaksi'!E:E, B20)</f>
        <v>0</v>
      </c>
      <c r="E20" s="6">
        <f>SUMIFS('Detail Transaksi'!I:I, 'Detail Transaksi'!E:E, B20)</f>
        <v>16198216749</v>
      </c>
      <c r="F20" s="6">
        <f t="shared" ref="F20:F40" si="2">E20-D20</f>
        <v>16198216749</v>
      </c>
      <c r="G20" s="15">
        <f>COUNTIFS('Detail Transaksi'!E:E, B20)</f>
        <v>16</v>
      </c>
      <c r="H20" s="16">
        <f>(D20+E20)/('Ringkasan Eksekutif'!C5+'Ringkasan Eksekutif'!E5)</f>
        <v>0.44936841179492487</v>
      </c>
    </row>
    <row r="21" spans="1:8">
      <c r="A21" s="17">
        <v>2</v>
      </c>
      <c r="B21" s="8" t="s">
        <v>31</v>
      </c>
      <c r="C21" s="17" t="s">
        <v>30</v>
      </c>
      <c r="D21" s="9">
        <f>SUMIFS('Detail Transaksi'!H:H, 'Detail Transaksi'!E:E, B21)</f>
        <v>0</v>
      </c>
      <c r="E21" s="9">
        <f>SUMIFS('Detail Transaksi'!I:I, 'Detail Transaksi'!E:E, B21)</f>
        <v>531320120</v>
      </c>
      <c r="F21" s="9">
        <f t="shared" si="2"/>
        <v>531320120</v>
      </c>
      <c r="G21" s="18">
        <f>COUNTIFS('Detail Transaksi'!E:E, B21)</f>
        <v>2</v>
      </c>
      <c r="H21" s="19">
        <f>(D21+E21)/('Ringkasan Eksekutif'!C5+'Ringkasan Eksekutif'!E5)</f>
        <v>1.4739800200156521E-2</v>
      </c>
    </row>
    <row r="22" spans="1:8">
      <c r="A22" s="14">
        <v>3</v>
      </c>
      <c r="B22" s="5" t="s">
        <v>32</v>
      </c>
      <c r="C22" s="14" t="s">
        <v>30</v>
      </c>
      <c r="D22" s="6">
        <f>SUMIFS('Detail Transaksi'!H:H, 'Detail Transaksi'!E:E, B22)</f>
        <v>0</v>
      </c>
      <c r="E22" s="6">
        <f>SUMIFS('Detail Transaksi'!I:I, 'Detail Transaksi'!E:E, B22)</f>
        <v>270000000</v>
      </c>
      <c r="F22" s="6">
        <f t="shared" si="2"/>
        <v>270000000</v>
      </c>
      <c r="G22" s="15">
        <f>COUNTIFS('Detail Transaksi'!E:E, B22)</f>
        <v>1</v>
      </c>
      <c r="H22" s="16">
        <f>(D22+E22)/('Ringkasan Eksekutif'!C5+'Ringkasan Eksekutif'!E5)</f>
        <v>7.4902980411173971E-3</v>
      </c>
    </row>
    <row r="23" spans="1:8">
      <c r="A23" s="17">
        <v>4</v>
      </c>
      <c r="B23" s="8" t="s">
        <v>33</v>
      </c>
      <c r="C23" s="17" t="s">
        <v>30</v>
      </c>
      <c r="D23" s="9">
        <f>SUMIFS('Detail Transaksi'!H:H, 'Detail Transaksi'!E:E, B23)</f>
        <v>0</v>
      </c>
      <c r="E23" s="9">
        <f>SUMIFS('Detail Transaksi'!I:I, 'Detail Transaksi'!E:E, B23)</f>
        <v>232363443</v>
      </c>
      <c r="F23" s="9">
        <f t="shared" si="2"/>
        <v>232363443</v>
      </c>
      <c r="G23" s="18">
        <f>COUNTIFS('Detail Transaksi'!E:E, B23)</f>
        <v>1</v>
      </c>
      <c r="H23" s="19">
        <f>(D23+E23)/('Ringkasan Eksekutif'!C5+'Ringkasan Eksekutif'!E5)</f>
        <v>6.4461905256673856E-3</v>
      </c>
    </row>
    <row r="24" spans="1:8">
      <c r="A24" s="14">
        <v>5</v>
      </c>
      <c r="B24" s="5" t="s">
        <v>34</v>
      </c>
      <c r="C24" s="14" t="s">
        <v>30</v>
      </c>
      <c r="D24" s="6">
        <f>SUMIFS('Detail Transaksi'!H:H, 'Detail Transaksi'!E:E, B24)</f>
        <v>0</v>
      </c>
      <c r="E24" s="6">
        <f>SUMIFS('Detail Transaksi'!I:I, 'Detail Transaksi'!E:E, B24)</f>
        <v>222400000</v>
      </c>
      <c r="F24" s="6">
        <f t="shared" si="2"/>
        <v>222400000</v>
      </c>
      <c r="G24" s="15">
        <f>COUNTIFS('Detail Transaksi'!E:E, B24)</f>
        <v>1</v>
      </c>
      <c r="H24" s="16">
        <f>(D24+E24)/('Ringkasan Eksekutif'!C5+'Ringkasan Eksekutif'!E5)</f>
        <v>6.169786238312997E-3</v>
      </c>
    </row>
    <row r="25" spans="1:8">
      <c r="A25" s="17">
        <v>6</v>
      </c>
      <c r="B25" s="8" t="s">
        <v>35</v>
      </c>
      <c r="C25" s="17" t="s">
        <v>30</v>
      </c>
      <c r="D25" s="9">
        <f>SUMIFS('Detail Transaksi'!H:H, 'Detail Transaksi'!E:E, B25)</f>
        <v>0</v>
      </c>
      <c r="E25" s="9">
        <f>SUMIFS('Detail Transaksi'!I:I, 'Detail Transaksi'!E:E, B25)</f>
        <v>82312000</v>
      </c>
      <c r="F25" s="9">
        <f t="shared" si="2"/>
        <v>82312000</v>
      </c>
      <c r="G25" s="18">
        <f>COUNTIFS('Detail Transaksi'!E:E, B25)</f>
        <v>4</v>
      </c>
      <c r="H25" s="19">
        <f>(D25+E25)/('Ringkasan Eksekutif'!C5+'Ringkasan Eksekutif'!E5)</f>
        <v>2.2834867124461302E-3</v>
      </c>
    </row>
    <row r="26" spans="1:8">
      <c r="A26" s="14">
        <v>7</v>
      </c>
      <c r="B26" s="5" t="s">
        <v>36</v>
      </c>
      <c r="C26" s="14" t="s">
        <v>30</v>
      </c>
      <c r="D26" s="6">
        <f>SUMIFS('Detail Transaksi'!H:H, 'Detail Transaksi'!E:E, B26)</f>
        <v>0</v>
      </c>
      <c r="E26" s="6">
        <f>SUMIFS('Detail Transaksi'!I:I, 'Detail Transaksi'!E:E, B26)</f>
        <v>280000000</v>
      </c>
      <c r="F26" s="6">
        <f t="shared" si="2"/>
        <v>280000000</v>
      </c>
      <c r="G26" s="15">
        <f>COUNTIFS('Detail Transaksi'!E:E, B26)</f>
        <v>2</v>
      </c>
      <c r="H26" s="16">
        <f>(D26+E26)/('Ringkasan Eksekutif'!C5+'Ringkasan Eksekutif'!E5)</f>
        <v>7.7677164870847085E-3</v>
      </c>
    </row>
    <row r="27" spans="1:8">
      <c r="A27" s="17">
        <v>8</v>
      </c>
      <c r="B27" s="8" t="s">
        <v>37</v>
      </c>
      <c r="C27" s="17" t="s">
        <v>30</v>
      </c>
      <c r="D27" s="9">
        <f>SUMIFS('Detail Transaksi'!H:H, 'Detail Transaksi'!E:E, B27)</f>
        <v>0</v>
      </c>
      <c r="E27" s="9">
        <f>SUMIFS('Detail Transaksi'!I:I, 'Detail Transaksi'!E:E, B27)</f>
        <v>257996000</v>
      </c>
      <c r="F27" s="9">
        <f t="shared" si="2"/>
        <v>257996000</v>
      </c>
      <c r="G27" s="18">
        <f>COUNTIFS('Detail Transaksi'!E:E, B27)</f>
        <v>2</v>
      </c>
      <c r="H27" s="19">
        <f>(D27+E27)/('Ringkasan Eksekutif'!C5+'Ringkasan Eksekutif'!E5)</f>
        <v>7.1572849385782376E-3</v>
      </c>
    </row>
    <row r="28" spans="1:8">
      <c r="A28" s="14">
        <v>9</v>
      </c>
      <c r="B28" s="5" t="s">
        <v>38</v>
      </c>
      <c r="C28" s="14" t="s">
        <v>30</v>
      </c>
      <c r="D28" s="6">
        <f>SUMIFS('Detail Transaksi'!H:H, 'Detail Transaksi'!E:E, B28)</f>
        <v>0</v>
      </c>
      <c r="E28" s="6">
        <f>SUMIFS('Detail Transaksi'!I:I, 'Detail Transaksi'!E:E, B28)</f>
        <v>270930000</v>
      </c>
      <c r="F28" s="6">
        <f t="shared" si="2"/>
        <v>270930000</v>
      </c>
      <c r="G28" s="15">
        <f>COUNTIFS('Detail Transaksi'!E:E, B28)</f>
        <v>6</v>
      </c>
      <c r="H28" s="16">
        <f>(D28+E28)/('Ringkasan Eksekutif'!C5+'Ringkasan Eksekutif'!E5)</f>
        <v>7.5160979565923576E-3</v>
      </c>
    </row>
    <row r="29" spans="1:8">
      <c r="A29" s="17">
        <v>10</v>
      </c>
      <c r="B29" s="8" t="s">
        <v>39</v>
      </c>
      <c r="C29" s="17" t="s">
        <v>30</v>
      </c>
      <c r="D29" s="9">
        <f>SUMIFS('Detail Transaksi'!H:H, 'Detail Transaksi'!E:E, B29)</f>
        <v>0</v>
      </c>
      <c r="E29" s="9">
        <f>SUMIFS('Detail Transaksi'!I:I, 'Detail Transaksi'!E:E, B29)</f>
        <v>356707.15</v>
      </c>
      <c r="F29" s="9">
        <f t="shared" si="2"/>
        <v>356707.15</v>
      </c>
      <c r="G29" s="18">
        <f>COUNTIFS('Detail Transaksi'!E:E, B29)</f>
        <v>7</v>
      </c>
      <c r="H29" s="19">
        <f>(D29+E29)/('Ringkasan Eksekutif'!C5+'Ringkasan Eksekutif'!E5)</f>
        <v>9.8957143218428509E-6</v>
      </c>
    </row>
    <row r="30" spans="1:8">
      <c r="A30" s="14">
        <v>11</v>
      </c>
      <c r="B30" s="5" t="s">
        <v>40</v>
      </c>
      <c r="C30" s="14" t="s">
        <v>41</v>
      </c>
      <c r="D30" s="6">
        <f>SUMIFS('Detail Transaksi'!H:H, 'Detail Transaksi'!E:E, B30)</f>
        <v>7108220120</v>
      </c>
      <c r="E30" s="6">
        <f>SUMIFS('Detail Transaksi'!I:I, 'Detail Transaksi'!E:E, B30)</f>
        <v>0</v>
      </c>
      <c r="F30" s="6">
        <f t="shared" si="2"/>
        <v>-7108220120</v>
      </c>
      <c r="G30" s="15">
        <f>COUNTIFS('Detail Transaksi'!E:E, B30)</f>
        <v>21</v>
      </c>
      <c r="H30" s="16">
        <f>(D30+E30)/('Ringkasan Eksekutif'!C5+'Ringkasan Eksekutif'!E5)</f>
        <v>0.1971951379283973</v>
      </c>
    </row>
    <row r="31" spans="1:8">
      <c r="A31" s="17">
        <v>12</v>
      </c>
      <c r="B31" s="8" t="s">
        <v>42</v>
      </c>
      <c r="C31" s="17" t="s">
        <v>41</v>
      </c>
      <c r="D31" s="9">
        <f>SUMIFS('Detail Transaksi'!H:H, 'Detail Transaksi'!E:E, B31)</f>
        <v>4090000000</v>
      </c>
      <c r="E31" s="9">
        <f>SUMIFS('Detail Transaksi'!I:I, 'Detail Transaksi'!E:E, B31)</f>
        <v>0</v>
      </c>
      <c r="F31" s="9">
        <f t="shared" si="2"/>
        <v>-4090000000</v>
      </c>
      <c r="G31" s="18">
        <f>COUNTIFS('Detail Transaksi'!E:E, B31)</f>
        <v>4</v>
      </c>
      <c r="H31" s="19">
        <f>(D31+E31)/('Ringkasan Eksekutif'!C5+'Ringkasan Eksekutif'!E5)</f>
        <v>0.1134641444006302</v>
      </c>
    </row>
    <row r="32" spans="1:8">
      <c r="A32" s="14">
        <v>13</v>
      </c>
      <c r="B32" s="5" t="s">
        <v>43</v>
      </c>
      <c r="C32" s="14" t="s">
        <v>44</v>
      </c>
      <c r="D32" s="6">
        <f>SUMIFS('Detail Transaksi'!H:H, 'Detail Transaksi'!E:E, B32)</f>
        <v>2809707039</v>
      </c>
      <c r="E32" s="6">
        <f>SUMIFS('Detail Transaksi'!I:I, 'Detail Transaksi'!E:E, B32)</f>
        <v>165024000</v>
      </c>
      <c r="F32" s="6">
        <f t="shared" si="2"/>
        <v>-2644683039</v>
      </c>
      <c r="G32" s="15">
        <f>COUNTIFS('Detail Transaksi'!E:E, B32)</f>
        <v>30</v>
      </c>
      <c r="H32" s="16">
        <f>(D32+E32)/('Ringkasan Eksekutif'!C5+'Ringkasan Eksekutif'!E5)</f>
        <v>8.2524526201010445E-2</v>
      </c>
    </row>
    <row r="33" spans="1:8">
      <c r="A33" s="17">
        <v>14</v>
      </c>
      <c r="B33" s="8" t="s">
        <v>45</v>
      </c>
      <c r="C33" s="17" t="s">
        <v>41</v>
      </c>
      <c r="D33" s="9">
        <f>SUMIFS('Detail Transaksi'!H:H, 'Detail Transaksi'!E:E, B33)</f>
        <v>2035100950</v>
      </c>
      <c r="E33" s="9">
        <f>SUMIFS('Detail Transaksi'!I:I, 'Detail Transaksi'!E:E, B33)</f>
        <v>0</v>
      </c>
      <c r="F33" s="9">
        <f t="shared" si="2"/>
        <v>-2035100950</v>
      </c>
      <c r="G33" s="18">
        <f>COUNTIFS('Detail Transaksi'!E:E, B33)</f>
        <v>28</v>
      </c>
      <c r="H33" s="19">
        <f>(D33+E33)/('Ringkasan Eksekutif'!C5+'Ringkasan Eksekutif'!E5)</f>
        <v>5.6457454293559833E-2</v>
      </c>
    </row>
    <row r="34" spans="1:8">
      <c r="A34" s="14">
        <v>15</v>
      </c>
      <c r="B34" s="5" t="s">
        <v>46</v>
      </c>
      <c r="C34" s="14" t="s">
        <v>41</v>
      </c>
      <c r="D34" s="6">
        <f>SUMIFS('Detail Transaksi'!H:H, 'Detail Transaksi'!E:E, B34)</f>
        <v>875558000</v>
      </c>
      <c r="E34" s="6">
        <f>SUMIFS('Detail Transaksi'!I:I, 'Detail Transaksi'!E:E, B34)</f>
        <v>0</v>
      </c>
      <c r="F34" s="6">
        <f t="shared" si="2"/>
        <v>-875558000</v>
      </c>
      <c r="G34" s="15">
        <f>COUNTIFS('Detail Transaksi'!E:E, B34)</f>
        <v>6</v>
      </c>
      <c r="H34" s="16">
        <f>(D34+E34)/('Ringkasan Eksekutif'!C5+'Ringkasan Eksekutif'!E5)</f>
        <v>2.4289593971424689E-2</v>
      </c>
    </row>
    <row r="35" spans="1:8">
      <c r="A35" s="17">
        <v>16</v>
      </c>
      <c r="B35" s="8" t="s">
        <v>47</v>
      </c>
      <c r="C35" s="17" t="s">
        <v>41</v>
      </c>
      <c r="D35" s="9">
        <f>SUMIFS('Detail Transaksi'!H:H, 'Detail Transaksi'!E:E, B35)</f>
        <v>615779500</v>
      </c>
      <c r="E35" s="9">
        <f>SUMIFS('Detail Transaksi'!I:I, 'Detail Transaksi'!E:E, B35)</f>
        <v>0</v>
      </c>
      <c r="F35" s="9">
        <f t="shared" si="2"/>
        <v>-615779500</v>
      </c>
      <c r="G35" s="18">
        <f>COUNTIFS('Detail Transaksi'!E:E, B35)</f>
        <v>35</v>
      </c>
      <c r="H35" s="19">
        <f>(D35+E35)/('Ringkasan Eksekutif'!C5+'Ringkasan Eksekutif'!E5)</f>
        <v>1.7082859194852779E-2</v>
      </c>
    </row>
    <row r="36" spans="1:8">
      <c r="A36" s="14">
        <v>17</v>
      </c>
      <c r="B36" s="5" t="s">
        <v>48</v>
      </c>
      <c r="C36" s="14" t="s">
        <v>41</v>
      </c>
      <c r="D36" s="6">
        <f>SUMIFS('Detail Transaksi'!H:H, 'Detail Transaksi'!E:E, B36)</f>
        <v>746253</v>
      </c>
      <c r="E36" s="6">
        <f>SUMIFS('Detail Transaksi'!I:I, 'Detail Transaksi'!E:E, B36)</f>
        <v>0</v>
      </c>
      <c r="F36" s="6">
        <f t="shared" si="2"/>
        <v>-746253</v>
      </c>
      <c r="G36" s="15">
        <f>COUNTIFS('Detail Transaksi'!E:E, B36)</f>
        <v>1</v>
      </c>
      <c r="H36" s="16">
        <f>(D36+E36)/('Ringkasan Eksekutif'!C5+'Ringkasan Eksekutif'!E5)</f>
        <v>2.0702434755844375E-5</v>
      </c>
    </row>
    <row r="37" spans="1:8">
      <c r="A37" s="17">
        <v>18</v>
      </c>
      <c r="B37" s="8" t="s">
        <v>49</v>
      </c>
      <c r="C37" s="17" t="s">
        <v>41</v>
      </c>
      <c r="D37" s="9">
        <f>SUMIFS('Detail Transaksi'!H:H, 'Detail Transaksi'!E:E, B37)</f>
        <v>450000</v>
      </c>
      <c r="E37" s="9">
        <f>SUMIFS('Detail Transaksi'!I:I, 'Detail Transaksi'!E:E, B37)</f>
        <v>0</v>
      </c>
      <c r="F37" s="9">
        <f t="shared" si="2"/>
        <v>-450000</v>
      </c>
      <c r="G37" s="18">
        <f>COUNTIFS('Detail Transaksi'!E:E, B37)</f>
        <v>9</v>
      </c>
      <c r="H37" s="19">
        <f>(D37+E37)/('Ringkasan Eksekutif'!C5+'Ringkasan Eksekutif'!E5)</f>
        <v>1.2483830068528995E-5</v>
      </c>
    </row>
    <row r="38" spans="1:8">
      <c r="A38" s="14">
        <v>19</v>
      </c>
      <c r="B38" s="5" t="s">
        <v>50</v>
      </c>
      <c r="C38" s="14" t="s">
        <v>41</v>
      </c>
      <c r="D38" s="6">
        <f>SUMIFS('Detail Transaksi'!H:H, 'Detail Transaksi'!E:E, B38)</f>
        <v>77500</v>
      </c>
      <c r="E38" s="6">
        <f>SUMIFS('Detail Transaksi'!I:I, 'Detail Transaksi'!E:E, B38)</f>
        <v>0</v>
      </c>
      <c r="F38" s="6">
        <f t="shared" si="2"/>
        <v>-77500</v>
      </c>
      <c r="G38" s="15">
        <f>COUNTIFS('Detail Transaksi'!E:E, B38)</f>
        <v>31</v>
      </c>
      <c r="H38" s="16">
        <f>(D38+E38)/('Ringkasan Eksekutif'!C5+'Ringkasan Eksekutif'!E5)</f>
        <v>2.1499929562466603E-6</v>
      </c>
    </row>
    <row r="39" spans="1:8">
      <c r="A39" s="17">
        <v>20</v>
      </c>
      <c r="B39" s="8" t="s">
        <v>51</v>
      </c>
      <c r="C39" s="17" t="s">
        <v>41</v>
      </c>
      <c r="D39" s="9">
        <f>SUMIFS('Detail Transaksi'!H:H, 'Detail Transaksi'!E:E, B39)</f>
        <v>71341.439999999988</v>
      </c>
      <c r="E39" s="9">
        <f>SUMIFS('Detail Transaksi'!I:I, 'Detail Transaksi'!E:E, B39)</f>
        <v>0</v>
      </c>
      <c r="F39" s="9">
        <f t="shared" si="2"/>
        <v>-71341.439999999988</v>
      </c>
      <c r="G39" s="18">
        <f>COUNTIFS('Detail Transaksi'!E:E, B39)</f>
        <v>7</v>
      </c>
      <c r="H39" s="19">
        <f>(D39+E39)/('Ringkasan Eksekutif'!C5+'Ringkasan Eksekutif'!E5)</f>
        <v>1.9791431417870155E-6</v>
      </c>
    </row>
    <row r="40" spans="1:8">
      <c r="A40" s="20"/>
      <c r="B40" s="11" t="s">
        <v>52</v>
      </c>
      <c r="C40" s="20" t="s">
        <v>53</v>
      </c>
      <c r="D40" s="12">
        <f>SUM(D20:D39)</f>
        <v>17535710703.439999</v>
      </c>
      <c r="E40" s="12">
        <f>SUM(E20:E39)</f>
        <v>18510919019.150002</v>
      </c>
      <c r="F40" s="12">
        <f t="shared" si="2"/>
        <v>975208315.7100029</v>
      </c>
      <c r="G40" s="13">
        <f>SUM(G20:G39)</f>
        <v>214</v>
      </c>
      <c r="H40" s="21">
        <f>SUM(H20:H39)</f>
        <v>1</v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9"/>
  <sheetViews>
    <sheetView workbookViewId="0">
      <pane ySplit="4" topLeftCell="A155" activePane="bottomLeft" state="frozen"/>
      <selection pane="bottomLeft" activeCell="E167" sqref="E167"/>
    </sheetView>
  </sheetViews>
  <sheetFormatPr defaultRowHeight="15"/>
  <cols>
    <col min="1" max="1" width="8" customWidth="1"/>
    <col min="2" max="2" width="12" customWidth="1"/>
    <col min="3" max="3" width="16" customWidth="1"/>
    <col min="4" max="4" width="18" customWidth="1"/>
    <col min="5" max="5" width="48" customWidth="1"/>
    <col min="6" max="6" width="65.7109375" customWidth="1"/>
    <col min="7" max="7" width="45" customWidth="1"/>
    <col min="8" max="9" width="25" customWidth="1"/>
    <col min="10" max="10" width="14" customWidth="1"/>
    <col min="11" max="11" width="28" customWidth="1"/>
  </cols>
  <sheetData>
    <row r="1" spans="1:11" ht="25.5">
      <c r="A1" s="1" t="s">
        <v>54</v>
      </c>
    </row>
    <row r="2" spans="1:11">
      <c r="A2" s="2" t="s">
        <v>55</v>
      </c>
    </row>
    <row r="4" spans="1:11">
      <c r="A4" s="4" t="s">
        <v>22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  <c r="K4" s="4" t="s">
        <v>65</v>
      </c>
    </row>
    <row r="5" spans="1:11">
      <c r="A5" s="14">
        <v>1</v>
      </c>
      <c r="B5" s="14" t="s">
        <v>66</v>
      </c>
      <c r="C5" s="14" t="s">
        <v>67</v>
      </c>
      <c r="D5" s="14" t="s">
        <v>68</v>
      </c>
      <c r="E5" s="5" t="s">
        <v>35</v>
      </c>
      <c r="F5" s="5" t="s">
        <v>69</v>
      </c>
      <c r="G5" s="5" t="s">
        <v>70</v>
      </c>
      <c r="H5" s="6">
        <v>0</v>
      </c>
      <c r="I5" s="22">
        <v>27438000</v>
      </c>
      <c r="J5" s="14" t="s">
        <v>71</v>
      </c>
      <c r="K5" s="14" t="s">
        <v>53</v>
      </c>
    </row>
    <row r="6" spans="1:11">
      <c r="A6" s="17">
        <v>2</v>
      </c>
      <c r="B6" s="17" t="s">
        <v>66</v>
      </c>
      <c r="C6" s="17" t="s">
        <v>67</v>
      </c>
      <c r="D6" s="17" t="s">
        <v>68</v>
      </c>
      <c r="E6" s="8" t="s">
        <v>47</v>
      </c>
      <c r="F6" s="8" t="s">
        <v>72</v>
      </c>
      <c r="G6" s="8" t="s">
        <v>73</v>
      </c>
      <c r="H6" s="23">
        <v>15154500</v>
      </c>
      <c r="I6" s="9">
        <v>0</v>
      </c>
      <c r="J6" s="17" t="s">
        <v>74</v>
      </c>
      <c r="K6" s="17" t="s">
        <v>53</v>
      </c>
    </row>
    <row r="7" spans="1:11">
      <c r="A7" s="24">
        <v>3</v>
      </c>
      <c r="B7" s="24" t="s">
        <v>66</v>
      </c>
      <c r="C7" s="24" t="s">
        <v>75</v>
      </c>
      <c r="D7" s="24" t="s">
        <v>68</v>
      </c>
      <c r="E7" s="25" t="s">
        <v>29</v>
      </c>
      <c r="F7" s="25" t="s">
        <v>76</v>
      </c>
      <c r="G7" s="25" t="s">
        <v>77</v>
      </c>
      <c r="H7" s="26">
        <v>0</v>
      </c>
      <c r="I7" s="27">
        <v>1130848000</v>
      </c>
      <c r="J7" s="24" t="s">
        <v>78</v>
      </c>
      <c r="K7" s="24" t="s">
        <v>53</v>
      </c>
    </row>
    <row r="8" spans="1:11">
      <c r="A8" s="17">
        <v>4</v>
      </c>
      <c r="B8" s="17" t="s">
        <v>66</v>
      </c>
      <c r="C8" s="17" t="s">
        <v>75</v>
      </c>
      <c r="D8" s="17" t="s">
        <v>68</v>
      </c>
      <c r="E8" s="8" t="s">
        <v>47</v>
      </c>
      <c r="F8" s="8" t="s">
        <v>79</v>
      </c>
      <c r="G8" s="8" t="s">
        <v>80</v>
      </c>
      <c r="H8" s="23">
        <v>21252500</v>
      </c>
      <c r="I8" s="9">
        <v>0</v>
      </c>
      <c r="J8" s="17" t="s">
        <v>74</v>
      </c>
      <c r="K8" s="17" t="s">
        <v>53</v>
      </c>
    </row>
    <row r="9" spans="1:11">
      <c r="A9" s="14">
        <v>5</v>
      </c>
      <c r="B9" s="14" t="s">
        <v>66</v>
      </c>
      <c r="C9" s="14" t="s">
        <v>75</v>
      </c>
      <c r="D9" s="14" t="s">
        <v>68</v>
      </c>
      <c r="E9" s="5" t="s">
        <v>47</v>
      </c>
      <c r="F9" s="5" t="s">
        <v>79</v>
      </c>
      <c r="G9" s="5" t="s">
        <v>81</v>
      </c>
      <c r="H9" s="28">
        <v>21252500</v>
      </c>
      <c r="I9" s="6">
        <v>0</v>
      </c>
      <c r="J9" s="14" t="s">
        <v>74</v>
      </c>
      <c r="K9" s="14" t="s">
        <v>53</v>
      </c>
    </row>
    <row r="10" spans="1:11">
      <c r="A10" s="17">
        <v>6</v>
      </c>
      <c r="B10" s="17" t="s">
        <v>66</v>
      </c>
      <c r="C10" s="17" t="s">
        <v>75</v>
      </c>
      <c r="D10" s="17" t="s">
        <v>68</v>
      </c>
      <c r="E10" s="8" t="s">
        <v>47</v>
      </c>
      <c r="F10" s="8" t="s">
        <v>72</v>
      </c>
      <c r="G10" s="8" t="s">
        <v>82</v>
      </c>
      <c r="H10" s="23">
        <v>15154500</v>
      </c>
      <c r="I10" s="9">
        <v>0</v>
      </c>
      <c r="J10" s="17" t="s">
        <v>74</v>
      </c>
      <c r="K10" s="17" t="s">
        <v>53</v>
      </c>
    </row>
    <row r="11" spans="1:11">
      <c r="A11" s="14">
        <v>7</v>
      </c>
      <c r="B11" s="14" t="s">
        <v>66</v>
      </c>
      <c r="C11" s="14" t="s">
        <v>75</v>
      </c>
      <c r="D11" s="14" t="s">
        <v>68</v>
      </c>
      <c r="E11" s="5" t="s">
        <v>47</v>
      </c>
      <c r="F11" s="5" t="s">
        <v>72</v>
      </c>
      <c r="G11" s="5" t="s">
        <v>83</v>
      </c>
      <c r="H11" s="28">
        <v>15154500</v>
      </c>
      <c r="I11" s="6">
        <v>0</v>
      </c>
      <c r="J11" s="14" t="s">
        <v>74</v>
      </c>
      <c r="K11" s="14" t="s">
        <v>53</v>
      </c>
    </row>
    <row r="12" spans="1:11">
      <c r="A12" s="17">
        <v>8</v>
      </c>
      <c r="B12" s="17" t="s">
        <v>66</v>
      </c>
      <c r="C12" s="17" t="s">
        <v>84</v>
      </c>
      <c r="D12" s="17" t="s">
        <v>68</v>
      </c>
      <c r="E12" s="8" t="s">
        <v>43</v>
      </c>
      <c r="F12" s="8" t="s">
        <v>85</v>
      </c>
      <c r="G12" s="8" t="s">
        <v>86</v>
      </c>
      <c r="H12" s="23">
        <v>27000000</v>
      </c>
      <c r="I12" s="9">
        <v>0</v>
      </c>
      <c r="J12" s="17" t="s">
        <v>87</v>
      </c>
      <c r="K12" s="17" t="s">
        <v>53</v>
      </c>
    </row>
    <row r="13" spans="1:11">
      <c r="A13" s="14">
        <v>9</v>
      </c>
      <c r="B13" s="14" t="s">
        <v>66</v>
      </c>
      <c r="C13" s="14" t="s">
        <v>84</v>
      </c>
      <c r="D13" s="14" t="s">
        <v>68</v>
      </c>
      <c r="E13" s="5" t="s">
        <v>50</v>
      </c>
      <c r="F13" s="5" t="s">
        <v>69</v>
      </c>
      <c r="G13" s="5" t="s">
        <v>88</v>
      </c>
      <c r="H13" s="28">
        <v>2500</v>
      </c>
      <c r="I13" s="6">
        <v>0</v>
      </c>
      <c r="J13" s="14" t="s">
        <v>87</v>
      </c>
      <c r="K13" s="14" t="s">
        <v>53</v>
      </c>
    </row>
    <row r="14" spans="1:11">
      <c r="A14" s="17">
        <v>10</v>
      </c>
      <c r="B14" s="17" t="s">
        <v>66</v>
      </c>
      <c r="C14" s="17" t="s">
        <v>84</v>
      </c>
      <c r="D14" s="17" t="s">
        <v>68</v>
      </c>
      <c r="E14" s="8" t="s">
        <v>43</v>
      </c>
      <c r="F14" s="8" t="s">
        <v>89</v>
      </c>
      <c r="G14" s="8" t="s">
        <v>90</v>
      </c>
      <c r="H14" s="23">
        <v>23000000</v>
      </c>
      <c r="I14" s="9">
        <v>0</v>
      </c>
      <c r="J14" s="17" t="s">
        <v>87</v>
      </c>
      <c r="K14" s="17" t="s">
        <v>53</v>
      </c>
    </row>
    <row r="15" spans="1:11">
      <c r="A15" s="14">
        <v>11</v>
      </c>
      <c r="B15" s="14" t="s">
        <v>66</v>
      </c>
      <c r="C15" s="14" t="s">
        <v>84</v>
      </c>
      <c r="D15" s="14" t="s">
        <v>68</v>
      </c>
      <c r="E15" s="5" t="s">
        <v>50</v>
      </c>
      <c r="F15" s="5" t="s">
        <v>69</v>
      </c>
      <c r="G15" s="5" t="s">
        <v>91</v>
      </c>
      <c r="H15" s="28">
        <v>2500</v>
      </c>
      <c r="I15" s="6">
        <v>0</v>
      </c>
      <c r="J15" s="14" t="s">
        <v>87</v>
      </c>
      <c r="K15" s="14" t="s">
        <v>53</v>
      </c>
    </row>
    <row r="16" spans="1:11">
      <c r="A16" s="17">
        <v>12</v>
      </c>
      <c r="B16" s="17" t="s">
        <v>66</v>
      </c>
      <c r="C16" s="17" t="s">
        <v>84</v>
      </c>
      <c r="D16" s="17" t="s">
        <v>68</v>
      </c>
      <c r="E16" s="8" t="s">
        <v>45</v>
      </c>
      <c r="F16" s="8" t="s">
        <v>92</v>
      </c>
      <c r="G16" s="8" t="s">
        <v>93</v>
      </c>
      <c r="H16" s="23">
        <v>20500000</v>
      </c>
      <c r="I16" s="9">
        <v>0</v>
      </c>
      <c r="J16" s="17" t="s">
        <v>87</v>
      </c>
      <c r="K16" s="17" t="s">
        <v>53</v>
      </c>
    </row>
    <row r="17" spans="1:11">
      <c r="A17" s="14">
        <v>13</v>
      </c>
      <c r="B17" s="14" t="s">
        <v>66</v>
      </c>
      <c r="C17" s="14" t="s">
        <v>84</v>
      </c>
      <c r="D17" s="14" t="s">
        <v>68</v>
      </c>
      <c r="E17" s="5" t="s">
        <v>50</v>
      </c>
      <c r="F17" s="5" t="s">
        <v>69</v>
      </c>
      <c r="G17" s="5" t="s">
        <v>94</v>
      </c>
      <c r="H17" s="28">
        <v>2500</v>
      </c>
      <c r="I17" s="6">
        <v>0</v>
      </c>
      <c r="J17" s="14" t="s">
        <v>87</v>
      </c>
      <c r="K17" s="14" t="s">
        <v>53</v>
      </c>
    </row>
    <row r="18" spans="1:11">
      <c r="A18" s="29">
        <v>14</v>
      </c>
      <c r="B18" s="29" t="s">
        <v>66</v>
      </c>
      <c r="C18" s="29" t="s">
        <v>84</v>
      </c>
      <c r="D18" s="29" t="s">
        <v>68</v>
      </c>
      <c r="E18" s="30" t="s">
        <v>42</v>
      </c>
      <c r="F18" s="30" t="s">
        <v>95</v>
      </c>
      <c r="G18" s="30" t="s">
        <v>96</v>
      </c>
      <c r="H18" s="31">
        <v>990000000</v>
      </c>
      <c r="I18" s="32">
        <v>0</v>
      </c>
      <c r="J18" s="29" t="s">
        <v>97</v>
      </c>
      <c r="K18" s="29" t="s">
        <v>53</v>
      </c>
    </row>
    <row r="19" spans="1:11">
      <c r="A19" s="14">
        <v>15</v>
      </c>
      <c r="B19" s="14" t="s">
        <v>66</v>
      </c>
      <c r="C19" s="14" t="s">
        <v>84</v>
      </c>
      <c r="D19" s="14" t="s">
        <v>68</v>
      </c>
      <c r="E19" s="5" t="s">
        <v>49</v>
      </c>
      <c r="F19" s="5" t="s">
        <v>98</v>
      </c>
      <c r="G19" s="5" t="s">
        <v>69</v>
      </c>
      <c r="H19" s="28">
        <v>25000</v>
      </c>
      <c r="I19" s="6">
        <v>0</v>
      </c>
      <c r="J19" s="14" t="s">
        <v>99</v>
      </c>
      <c r="K19" s="14" t="s">
        <v>53</v>
      </c>
    </row>
    <row r="20" spans="1:11">
      <c r="A20" s="17">
        <v>16</v>
      </c>
      <c r="B20" s="17" t="s">
        <v>66</v>
      </c>
      <c r="C20" s="17" t="s">
        <v>84</v>
      </c>
      <c r="D20" s="17" t="s">
        <v>68</v>
      </c>
      <c r="E20" s="8" t="s">
        <v>49</v>
      </c>
      <c r="F20" s="8" t="s">
        <v>100</v>
      </c>
      <c r="G20" s="8" t="s">
        <v>69</v>
      </c>
      <c r="H20" s="23">
        <v>250000</v>
      </c>
      <c r="I20" s="9">
        <v>0</v>
      </c>
      <c r="J20" s="17" t="s">
        <v>101</v>
      </c>
      <c r="K20" s="17" t="s">
        <v>53</v>
      </c>
    </row>
    <row r="21" spans="1:11">
      <c r="A21" s="14">
        <v>17</v>
      </c>
      <c r="B21" s="14" t="s">
        <v>66</v>
      </c>
      <c r="C21" s="14" t="s">
        <v>102</v>
      </c>
      <c r="D21" s="14" t="s">
        <v>68</v>
      </c>
      <c r="E21" s="5" t="s">
        <v>45</v>
      </c>
      <c r="F21" s="5" t="s">
        <v>103</v>
      </c>
      <c r="G21" s="5" t="s">
        <v>69</v>
      </c>
      <c r="H21" s="28">
        <v>4000000</v>
      </c>
      <c r="I21" s="6">
        <v>0</v>
      </c>
      <c r="J21" s="14" t="s">
        <v>78</v>
      </c>
      <c r="K21" s="14" t="s">
        <v>53</v>
      </c>
    </row>
    <row r="22" spans="1:11">
      <c r="A22" s="17">
        <v>18</v>
      </c>
      <c r="B22" s="17" t="s">
        <v>66</v>
      </c>
      <c r="C22" s="17" t="s">
        <v>102</v>
      </c>
      <c r="D22" s="17" t="s">
        <v>68</v>
      </c>
      <c r="E22" s="8" t="s">
        <v>43</v>
      </c>
      <c r="F22" s="8" t="s">
        <v>104</v>
      </c>
      <c r="G22" s="8" t="s">
        <v>105</v>
      </c>
      <c r="H22" s="23">
        <v>5000000</v>
      </c>
      <c r="I22" s="9">
        <v>0</v>
      </c>
      <c r="J22" s="17" t="s">
        <v>87</v>
      </c>
      <c r="K22" s="17" t="s">
        <v>53</v>
      </c>
    </row>
    <row r="23" spans="1:11">
      <c r="A23" s="14">
        <v>19</v>
      </c>
      <c r="B23" s="14" t="s">
        <v>66</v>
      </c>
      <c r="C23" s="14" t="s">
        <v>102</v>
      </c>
      <c r="D23" s="14" t="s">
        <v>68</v>
      </c>
      <c r="E23" s="5" t="s">
        <v>50</v>
      </c>
      <c r="F23" s="5" t="s">
        <v>69</v>
      </c>
      <c r="G23" s="5" t="s">
        <v>106</v>
      </c>
      <c r="H23" s="28">
        <v>2500</v>
      </c>
      <c r="I23" s="6">
        <v>0</v>
      </c>
      <c r="J23" s="14" t="s">
        <v>87</v>
      </c>
      <c r="K23" s="14" t="s">
        <v>53</v>
      </c>
    </row>
    <row r="24" spans="1:11">
      <c r="A24" s="17">
        <v>20</v>
      </c>
      <c r="B24" s="17" t="s">
        <v>66</v>
      </c>
      <c r="C24" s="17" t="s">
        <v>107</v>
      </c>
      <c r="D24" s="17" t="s">
        <v>68</v>
      </c>
      <c r="E24" s="8" t="s">
        <v>29</v>
      </c>
      <c r="F24" s="8" t="s">
        <v>108</v>
      </c>
      <c r="G24" s="8" t="s">
        <v>109</v>
      </c>
      <c r="H24" s="9">
        <v>0</v>
      </c>
      <c r="I24" s="33">
        <v>18530000</v>
      </c>
      <c r="J24" s="17" t="s">
        <v>78</v>
      </c>
      <c r="K24" s="17" t="s">
        <v>53</v>
      </c>
    </row>
    <row r="25" spans="1:11">
      <c r="A25" s="14">
        <v>21</v>
      </c>
      <c r="B25" s="14" t="s">
        <v>66</v>
      </c>
      <c r="C25" s="14" t="s">
        <v>110</v>
      </c>
      <c r="D25" s="14" t="s">
        <v>68</v>
      </c>
      <c r="E25" s="5" t="s">
        <v>45</v>
      </c>
      <c r="F25" s="5" t="s">
        <v>111</v>
      </c>
      <c r="G25" s="5" t="s">
        <v>69</v>
      </c>
      <c r="H25" s="28">
        <v>18500000</v>
      </c>
      <c r="I25" s="6">
        <v>0</v>
      </c>
      <c r="J25" s="14" t="s">
        <v>78</v>
      </c>
      <c r="K25" s="14" t="s">
        <v>53</v>
      </c>
    </row>
    <row r="26" spans="1:11">
      <c r="A26" s="17">
        <v>22</v>
      </c>
      <c r="B26" s="17" t="s">
        <v>66</v>
      </c>
      <c r="C26" s="17" t="s">
        <v>112</v>
      </c>
      <c r="D26" s="17" t="s">
        <v>68</v>
      </c>
      <c r="E26" s="8" t="s">
        <v>49</v>
      </c>
      <c r="F26" s="8" t="s">
        <v>113</v>
      </c>
      <c r="G26" s="8" t="s">
        <v>69</v>
      </c>
      <c r="H26" s="23">
        <v>25000</v>
      </c>
      <c r="I26" s="9">
        <v>0</v>
      </c>
      <c r="J26" s="17" t="s">
        <v>114</v>
      </c>
      <c r="K26" s="17" t="s">
        <v>53</v>
      </c>
    </row>
    <row r="27" spans="1:11">
      <c r="A27" s="14">
        <v>23</v>
      </c>
      <c r="B27" s="14" t="s">
        <v>66</v>
      </c>
      <c r="C27" s="14" t="s">
        <v>112</v>
      </c>
      <c r="D27" s="14" t="s">
        <v>68</v>
      </c>
      <c r="E27" s="5" t="s">
        <v>39</v>
      </c>
      <c r="F27" s="5" t="s">
        <v>115</v>
      </c>
      <c r="G27" s="5" t="s">
        <v>69</v>
      </c>
      <c r="H27" s="6">
        <v>0</v>
      </c>
      <c r="I27" s="22">
        <v>30175.91</v>
      </c>
      <c r="J27" s="14" t="s">
        <v>116</v>
      </c>
      <c r="K27" s="14" t="s">
        <v>53</v>
      </c>
    </row>
    <row r="28" spans="1:11">
      <c r="A28" s="17">
        <v>24</v>
      </c>
      <c r="B28" s="17" t="s">
        <v>66</v>
      </c>
      <c r="C28" s="17" t="s">
        <v>112</v>
      </c>
      <c r="D28" s="17" t="s">
        <v>68</v>
      </c>
      <c r="E28" s="8" t="s">
        <v>51</v>
      </c>
      <c r="F28" s="8" t="s">
        <v>117</v>
      </c>
      <c r="G28" s="8" t="s">
        <v>69</v>
      </c>
      <c r="H28" s="23">
        <v>6035.18</v>
      </c>
      <c r="I28" s="9">
        <v>0</v>
      </c>
      <c r="J28" s="17" t="s">
        <v>118</v>
      </c>
      <c r="K28" s="17" t="s">
        <v>53</v>
      </c>
    </row>
    <row r="29" spans="1:11">
      <c r="A29" s="14">
        <v>25</v>
      </c>
      <c r="B29" s="14" t="s">
        <v>119</v>
      </c>
      <c r="C29" s="14" t="s">
        <v>120</v>
      </c>
      <c r="D29" s="14" t="s">
        <v>68</v>
      </c>
      <c r="E29" s="5" t="s">
        <v>35</v>
      </c>
      <c r="F29" s="5" t="s">
        <v>69</v>
      </c>
      <c r="G29" s="5" t="s">
        <v>70</v>
      </c>
      <c r="H29" s="6">
        <v>0</v>
      </c>
      <c r="I29" s="22">
        <v>13718000</v>
      </c>
      <c r="J29" s="14" t="s">
        <v>71</v>
      </c>
      <c r="K29" s="14" t="s">
        <v>53</v>
      </c>
    </row>
    <row r="30" spans="1:11">
      <c r="A30" s="17">
        <v>26</v>
      </c>
      <c r="B30" s="17" t="s">
        <v>119</v>
      </c>
      <c r="C30" s="17" t="s">
        <v>121</v>
      </c>
      <c r="D30" s="17" t="s">
        <v>68</v>
      </c>
      <c r="E30" s="8" t="s">
        <v>43</v>
      </c>
      <c r="F30" s="8" t="s">
        <v>122</v>
      </c>
      <c r="G30" s="8" t="s">
        <v>123</v>
      </c>
      <c r="H30" s="23">
        <v>3000000</v>
      </c>
      <c r="I30" s="9">
        <v>0</v>
      </c>
      <c r="J30" s="17" t="s">
        <v>87</v>
      </c>
      <c r="K30" s="17" t="s">
        <v>53</v>
      </c>
    </row>
    <row r="31" spans="1:11">
      <c r="A31" s="14">
        <v>27</v>
      </c>
      <c r="B31" s="14" t="s">
        <v>119</v>
      </c>
      <c r="C31" s="14" t="s">
        <v>121</v>
      </c>
      <c r="D31" s="14" t="s">
        <v>68</v>
      </c>
      <c r="E31" s="5" t="s">
        <v>50</v>
      </c>
      <c r="F31" s="5" t="s">
        <v>69</v>
      </c>
      <c r="G31" s="5" t="s">
        <v>124</v>
      </c>
      <c r="H31" s="28">
        <v>2500</v>
      </c>
      <c r="I31" s="6">
        <v>0</v>
      </c>
      <c r="J31" s="14" t="s">
        <v>87</v>
      </c>
      <c r="K31" s="14" t="s">
        <v>53</v>
      </c>
    </row>
    <row r="32" spans="1:11">
      <c r="A32" s="17">
        <v>28</v>
      </c>
      <c r="B32" s="17" t="s">
        <v>119</v>
      </c>
      <c r="C32" s="17" t="s">
        <v>125</v>
      </c>
      <c r="D32" s="17" t="s">
        <v>68</v>
      </c>
      <c r="E32" s="8" t="s">
        <v>43</v>
      </c>
      <c r="F32" s="8" t="s">
        <v>126</v>
      </c>
      <c r="G32" s="8" t="s">
        <v>127</v>
      </c>
      <c r="H32" s="9">
        <v>0</v>
      </c>
      <c r="I32" s="33">
        <v>100000000</v>
      </c>
      <c r="J32" s="17" t="s">
        <v>128</v>
      </c>
      <c r="K32" s="17" t="s">
        <v>53</v>
      </c>
    </row>
    <row r="33" spans="1:11">
      <c r="A33" s="14">
        <v>29</v>
      </c>
      <c r="B33" s="14" t="s">
        <v>119</v>
      </c>
      <c r="C33" s="14" t="s">
        <v>125</v>
      </c>
      <c r="D33" s="14" t="s">
        <v>68</v>
      </c>
      <c r="E33" s="5" t="s">
        <v>47</v>
      </c>
      <c r="F33" s="5" t="s">
        <v>129</v>
      </c>
      <c r="G33" s="5" t="s">
        <v>130</v>
      </c>
      <c r="H33" s="28">
        <v>15154500</v>
      </c>
      <c r="I33" s="6">
        <v>0</v>
      </c>
      <c r="J33" s="14" t="s">
        <v>74</v>
      </c>
      <c r="K33" s="14" t="s">
        <v>53</v>
      </c>
    </row>
    <row r="34" spans="1:11">
      <c r="A34" s="17">
        <v>30</v>
      </c>
      <c r="B34" s="17" t="s">
        <v>119</v>
      </c>
      <c r="C34" s="17" t="s">
        <v>125</v>
      </c>
      <c r="D34" s="17" t="s">
        <v>68</v>
      </c>
      <c r="E34" s="8" t="s">
        <v>47</v>
      </c>
      <c r="F34" s="8" t="s">
        <v>129</v>
      </c>
      <c r="G34" s="8" t="s">
        <v>131</v>
      </c>
      <c r="H34" s="23">
        <v>15154500</v>
      </c>
      <c r="I34" s="9">
        <v>0</v>
      </c>
      <c r="J34" s="17" t="s">
        <v>74</v>
      </c>
      <c r="K34" s="17" t="s">
        <v>53</v>
      </c>
    </row>
    <row r="35" spans="1:11">
      <c r="A35" s="14">
        <v>31</v>
      </c>
      <c r="B35" s="14" t="s">
        <v>119</v>
      </c>
      <c r="C35" s="14" t="s">
        <v>125</v>
      </c>
      <c r="D35" s="14" t="s">
        <v>68</v>
      </c>
      <c r="E35" s="5" t="s">
        <v>47</v>
      </c>
      <c r="F35" s="5" t="s">
        <v>129</v>
      </c>
      <c r="G35" s="5" t="s">
        <v>132</v>
      </c>
      <c r="H35" s="28">
        <v>15154500</v>
      </c>
      <c r="I35" s="6">
        <v>0</v>
      </c>
      <c r="J35" s="14" t="s">
        <v>74</v>
      </c>
      <c r="K35" s="14" t="s">
        <v>53</v>
      </c>
    </row>
    <row r="36" spans="1:11">
      <c r="A36" s="17">
        <v>32</v>
      </c>
      <c r="B36" s="17" t="s">
        <v>119</v>
      </c>
      <c r="C36" s="17" t="s">
        <v>125</v>
      </c>
      <c r="D36" s="17" t="s">
        <v>68</v>
      </c>
      <c r="E36" s="8" t="s">
        <v>47</v>
      </c>
      <c r="F36" s="8" t="s">
        <v>133</v>
      </c>
      <c r="G36" s="8" t="s">
        <v>134</v>
      </c>
      <c r="H36" s="23">
        <v>21252500</v>
      </c>
      <c r="I36" s="9">
        <v>0</v>
      </c>
      <c r="J36" s="17" t="s">
        <v>74</v>
      </c>
      <c r="K36" s="17" t="s">
        <v>53</v>
      </c>
    </row>
    <row r="37" spans="1:11">
      <c r="A37" s="14">
        <v>33</v>
      </c>
      <c r="B37" s="14" t="s">
        <v>119</v>
      </c>
      <c r="C37" s="14" t="s">
        <v>125</v>
      </c>
      <c r="D37" s="14" t="s">
        <v>68</v>
      </c>
      <c r="E37" s="5" t="s">
        <v>47</v>
      </c>
      <c r="F37" s="5" t="s">
        <v>133</v>
      </c>
      <c r="G37" s="5" t="s">
        <v>135</v>
      </c>
      <c r="H37" s="28">
        <v>21252500</v>
      </c>
      <c r="I37" s="6">
        <v>0</v>
      </c>
      <c r="J37" s="14" t="s">
        <v>74</v>
      </c>
      <c r="K37" s="14" t="s">
        <v>53</v>
      </c>
    </row>
    <row r="38" spans="1:11">
      <c r="A38" s="17">
        <v>34</v>
      </c>
      <c r="B38" s="17" t="s">
        <v>119</v>
      </c>
      <c r="C38" s="17" t="s">
        <v>136</v>
      </c>
      <c r="D38" s="17" t="s">
        <v>68</v>
      </c>
      <c r="E38" s="8" t="s">
        <v>43</v>
      </c>
      <c r="F38" s="8" t="s">
        <v>137</v>
      </c>
      <c r="G38" s="8" t="s">
        <v>138</v>
      </c>
      <c r="H38" s="9">
        <v>0</v>
      </c>
      <c r="I38" s="33">
        <v>50000</v>
      </c>
      <c r="J38" s="17" t="s">
        <v>128</v>
      </c>
      <c r="K38" s="17" t="s">
        <v>53</v>
      </c>
    </row>
    <row r="39" spans="1:11">
      <c r="A39" s="14">
        <v>35</v>
      </c>
      <c r="B39" s="14" t="s">
        <v>119</v>
      </c>
      <c r="C39" s="14" t="s">
        <v>136</v>
      </c>
      <c r="D39" s="14" t="s">
        <v>68</v>
      </c>
      <c r="E39" s="5" t="s">
        <v>43</v>
      </c>
      <c r="F39" s="5" t="s">
        <v>137</v>
      </c>
      <c r="G39" s="5" t="s">
        <v>139</v>
      </c>
      <c r="H39" s="6">
        <v>0</v>
      </c>
      <c r="I39" s="22">
        <v>50000</v>
      </c>
      <c r="J39" s="14" t="s">
        <v>128</v>
      </c>
      <c r="K39" s="14" t="s">
        <v>53</v>
      </c>
    </row>
    <row r="40" spans="1:11">
      <c r="A40" s="17">
        <v>36</v>
      </c>
      <c r="B40" s="17" t="s">
        <v>119</v>
      </c>
      <c r="C40" s="17" t="s">
        <v>140</v>
      </c>
      <c r="D40" s="17" t="s">
        <v>68</v>
      </c>
      <c r="E40" s="8" t="s">
        <v>45</v>
      </c>
      <c r="F40" s="8" t="s">
        <v>141</v>
      </c>
      <c r="G40" s="8" t="s">
        <v>69</v>
      </c>
      <c r="H40" s="23">
        <v>20000000</v>
      </c>
      <c r="I40" s="9">
        <v>0</v>
      </c>
      <c r="J40" s="17" t="s">
        <v>78</v>
      </c>
      <c r="K40" s="17" t="s">
        <v>53</v>
      </c>
    </row>
    <row r="41" spans="1:11">
      <c r="A41" s="14">
        <v>37</v>
      </c>
      <c r="B41" s="14" t="s">
        <v>119</v>
      </c>
      <c r="C41" s="14" t="s">
        <v>142</v>
      </c>
      <c r="D41" s="14" t="s">
        <v>68</v>
      </c>
      <c r="E41" s="5" t="s">
        <v>49</v>
      </c>
      <c r="F41" s="5" t="s">
        <v>113</v>
      </c>
      <c r="G41" s="5" t="s">
        <v>69</v>
      </c>
      <c r="H41" s="28">
        <v>25000</v>
      </c>
      <c r="I41" s="6">
        <v>0</v>
      </c>
      <c r="J41" s="14" t="s">
        <v>114</v>
      </c>
      <c r="K41" s="14" t="s">
        <v>53</v>
      </c>
    </row>
    <row r="42" spans="1:11">
      <c r="A42" s="17">
        <v>38</v>
      </c>
      <c r="B42" s="17" t="s">
        <v>119</v>
      </c>
      <c r="C42" s="17" t="s">
        <v>142</v>
      </c>
      <c r="D42" s="17" t="s">
        <v>68</v>
      </c>
      <c r="E42" s="8" t="s">
        <v>39</v>
      </c>
      <c r="F42" s="8" t="s">
        <v>115</v>
      </c>
      <c r="G42" s="8" t="s">
        <v>69</v>
      </c>
      <c r="H42" s="9">
        <v>0</v>
      </c>
      <c r="I42" s="33">
        <v>2070.31</v>
      </c>
      <c r="J42" s="17" t="s">
        <v>116</v>
      </c>
      <c r="K42" s="17" t="s">
        <v>53</v>
      </c>
    </row>
    <row r="43" spans="1:11">
      <c r="A43" s="14">
        <v>39</v>
      </c>
      <c r="B43" s="14" t="s">
        <v>119</v>
      </c>
      <c r="C43" s="14" t="s">
        <v>142</v>
      </c>
      <c r="D43" s="14" t="s">
        <v>68</v>
      </c>
      <c r="E43" s="5" t="s">
        <v>51</v>
      </c>
      <c r="F43" s="5" t="s">
        <v>117</v>
      </c>
      <c r="G43" s="5" t="s">
        <v>69</v>
      </c>
      <c r="H43" s="28">
        <v>414.06</v>
      </c>
      <c r="I43" s="6">
        <v>0</v>
      </c>
      <c r="J43" s="14" t="s">
        <v>118</v>
      </c>
      <c r="K43" s="14" t="s">
        <v>53</v>
      </c>
    </row>
    <row r="44" spans="1:11">
      <c r="A44" s="17">
        <v>40</v>
      </c>
      <c r="B44" s="17" t="s">
        <v>143</v>
      </c>
      <c r="C44" s="17" t="s">
        <v>144</v>
      </c>
      <c r="D44" s="17" t="s">
        <v>68</v>
      </c>
      <c r="E44" s="8" t="s">
        <v>35</v>
      </c>
      <c r="F44" s="8" t="s">
        <v>69</v>
      </c>
      <c r="G44" s="8" t="s">
        <v>70</v>
      </c>
      <c r="H44" s="9">
        <v>0</v>
      </c>
      <c r="I44" s="33">
        <v>34298000</v>
      </c>
      <c r="J44" s="17" t="s">
        <v>71</v>
      </c>
      <c r="K44" s="17" t="s">
        <v>53</v>
      </c>
    </row>
    <row r="45" spans="1:11">
      <c r="A45" s="14">
        <v>41</v>
      </c>
      <c r="B45" s="14" t="s">
        <v>143</v>
      </c>
      <c r="C45" s="14" t="s">
        <v>144</v>
      </c>
      <c r="D45" s="14" t="s">
        <v>68</v>
      </c>
      <c r="E45" s="5" t="s">
        <v>47</v>
      </c>
      <c r="F45" s="5" t="s">
        <v>145</v>
      </c>
      <c r="G45" s="5" t="s">
        <v>146</v>
      </c>
      <c r="H45" s="28">
        <v>21252500</v>
      </c>
      <c r="I45" s="6">
        <v>0</v>
      </c>
      <c r="J45" s="14" t="s">
        <v>74</v>
      </c>
      <c r="K45" s="14" t="s">
        <v>53</v>
      </c>
    </row>
    <row r="46" spans="1:11">
      <c r="A46" s="17">
        <v>42</v>
      </c>
      <c r="B46" s="17" t="s">
        <v>143</v>
      </c>
      <c r="C46" s="17" t="s">
        <v>144</v>
      </c>
      <c r="D46" s="17" t="s">
        <v>68</v>
      </c>
      <c r="E46" s="8" t="s">
        <v>47</v>
      </c>
      <c r="F46" s="8" t="s">
        <v>147</v>
      </c>
      <c r="G46" s="8" t="s">
        <v>148</v>
      </c>
      <c r="H46" s="23">
        <v>15154500</v>
      </c>
      <c r="I46" s="9">
        <v>0</v>
      </c>
      <c r="J46" s="17" t="s">
        <v>74</v>
      </c>
      <c r="K46" s="17" t="s">
        <v>53</v>
      </c>
    </row>
    <row r="47" spans="1:11">
      <c r="A47" s="24">
        <v>43</v>
      </c>
      <c r="B47" s="24" t="s">
        <v>143</v>
      </c>
      <c r="C47" s="24" t="s">
        <v>149</v>
      </c>
      <c r="D47" s="24" t="s">
        <v>68</v>
      </c>
      <c r="E47" s="25" t="s">
        <v>29</v>
      </c>
      <c r="F47" s="25" t="s">
        <v>76</v>
      </c>
      <c r="G47" s="25" t="s">
        <v>150</v>
      </c>
      <c r="H47" s="26">
        <v>0</v>
      </c>
      <c r="I47" s="27">
        <v>1144120000</v>
      </c>
      <c r="J47" s="24" t="s">
        <v>78</v>
      </c>
      <c r="K47" s="24" t="s">
        <v>53</v>
      </c>
    </row>
    <row r="48" spans="1:11">
      <c r="A48" s="17">
        <v>44</v>
      </c>
      <c r="B48" s="17" t="s">
        <v>143</v>
      </c>
      <c r="C48" s="17" t="s">
        <v>149</v>
      </c>
      <c r="D48" s="17" t="s">
        <v>68</v>
      </c>
      <c r="E48" s="8" t="s">
        <v>47</v>
      </c>
      <c r="F48" s="8" t="s">
        <v>147</v>
      </c>
      <c r="G48" s="8" t="s">
        <v>151</v>
      </c>
      <c r="H48" s="23">
        <v>15154500</v>
      </c>
      <c r="I48" s="9">
        <v>0</v>
      </c>
      <c r="J48" s="17" t="s">
        <v>74</v>
      </c>
      <c r="K48" s="17" t="s">
        <v>53</v>
      </c>
    </row>
    <row r="49" spans="1:11">
      <c r="A49" s="14">
        <v>45</v>
      </c>
      <c r="B49" s="14" t="s">
        <v>143</v>
      </c>
      <c r="C49" s="14" t="s">
        <v>149</v>
      </c>
      <c r="D49" s="14" t="s">
        <v>68</v>
      </c>
      <c r="E49" s="5" t="s">
        <v>47</v>
      </c>
      <c r="F49" s="5" t="s">
        <v>147</v>
      </c>
      <c r="G49" s="5" t="s">
        <v>152</v>
      </c>
      <c r="H49" s="28">
        <v>15154500</v>
      </c>
      <c r="I49" s="6">
        <v>0</v>
      </c>
      <c r="J49" s="14" t="s">
        <v>74</v>
      </c>
      <c r="K49" s="14" t="s">
        <v>53</v>
      </c>
    </row>
    <row r="50" spans="1:11">
      <c r="A50" s="17">
        <v>46</v>
      </c>
      <c r="B50" s="17" t="s">
        <v>143</v>
      </c>
      <c r="C50" s="17" t="s">
        <v>149</v>
      </c>
      <c r="D50" s="17" t="s">
        <v>68</v>
      </c>
      <c r="E50" s="8" t="s">
        <v>47</v>
      </c>
      <c r="F50" s="8" t="s">
        <v>145</v>
      </c>
      <c r="G50" s="8" t="s">
        <v>153</v>
      </c>
      <c r="H50" s="23">
        <v>21252500</v>
      </c>
      <c r="I50" s="9">
        <v>0</v>
      </c>
      <c r="J50" s="17" t="s">
        <v>74</v>
      </c>
      <c r="K50" s="17" t="s">
        <v>53</v>
      </c>
    </row>
    <row r="51" spans="1:11">
      <c r="A51" s="14">
        <v>47</v>
      </c>
      <c r="B51" s="14" t="s">
        <v>143</v>
      </c>
      <c r="C51" s="14" t="s">
        <v>149</v>
      </c>
      <c r="D51" s="14" t="s">
        <v>68</v>
      </c>
      <c r="E51" s="5" t="s">
        <v>40</v>
      </c>
      <c r="F51" s="5" t="s">
        <v>154</v>
      </c>
      <c r="G51" s="5" t="s">
        <v>69</v>
      </c>
      <c r="H51" s="28">
        <v>285000000</v>
      </c>
      <c r="I51" s="6">
        <v>0</v>
      </c>
      <c r="J51" s="14" t="s">
        <v>78</v>
      </c>
      <c r="K51" s="14" t="s">
        <v>53</v>
      </c>
    </row>
    <row r="52" spans="1:11">
      <c r="A52" s="17">
        <v>48</v>
      </c>
      <c r="B52" s="17" t="s">
        <v>143</v>
      </c>
      <c r="C52" s="17" t="s">
        <v>149</v>
      </c>
      <c r="D52" s="17" t="s">
        <v>68</v>
      </c>
      <c r="E52" s="8" t="s">
        <v>45</v>
      </c>
      <c r="F52" s="8" t="s">
        <v>155</v>
      </c>
      <c r="G52" s="8" t="s">
        <v>69</v>
      </c>
      <c r="H52" s="23">
        <v>26000000</v>
      </c>
      <c r="I52" s="9">
        <v>0</v>
      </c>
      <c r="J52" s="17" t="s">
        <v>78</v>
      </c>
      <c r="K52" s="17" t="s">
        <v>53</v>
      </c>
    </row>
    <row r="53" spans="1:11">
      <c r="A53" s="14">
        <v>49</v>
      </c>
      <c r="B53" s="14" t="s">
        <v>143</v>
      </c>
      <c r="C53" s="14" t="s">
        <v>156</v>
      </c>
      <c r="D53" s="14" t="s">
        <v>68</v>
      </c>
      <c r="E53" s="5" t="s">
        <v>40</v>
      </c>
      <c r="F53" s="5" t="s">
        <v>157</v>
      </c>
      <c r="G53" s="5" t="s">
        <v>158</v>
      </c>
      <c r="H53" s="28">
        <v>100500000</v>
      </c>
      <c r="I53" s="6">
        <v>0</v>
      </c>
      <c r="J53" s="14" t="s">
        <v>87</v>
      </c>
      <c r="K53" s="14" t="s">
        <v>53</v>
      </c>
    </row>
    <row r="54" spans="1:11">
      <c r="A54" s="17">
        <v>50</v>
      </c>
      <c r="B54" s="17" t="s">
        <v>143</v>
      </c>
      <c r="C54" s="17" t="s">
        <v>156</v>
      </c>
      <c r="D54" s="17" t="s">
        <v>68</v>
      </c>
      <c r="E54" s="8" t="s">
        <v>50</v>
      </c>
      <c r="F54" s="8" t="s">
        <v>69</v>
      </c>
      <c r="G54" s="8" t="s">
        <v>159</v>
      </c>
      <c r="H54" s="23">
        <v>2500</v>
      </c>
      <c r="I54" s="9">
        <v>0</v>
      </c>
      <c r="J54" s="17" t="s">
        <v>87</v>
      </c>
      <c r="K54" s="17" t="s">
        <v>53</v>
      </c>
    </row>
    <row r="55" spans="1:11">
      <c r="A55" s="14">
        <v>51</v>
      </c>
      <c r="B55" s="14" t="s">
        <v>143</v>
      </c>
      <c r="C55" s="14" t="s">
        <v>156</v>
      </c>
      <c r="D55" s="14" t="s">
        <v>68</v>
      </c>
      <c r="E55" s="5" t="s">
        <v>45</v>
      </c>
      <c r="F55" s="5" t="s">
        <v>160</v>
      </c>
      <c r="G55" s="5" t="s">
        <v>69</v>
      </c>
      <c r="H55" s="28">
        <v>20000000</v>
      </c>
      <c r="I55" s="6">
        <v>0</v>
      </c>
      <c r="J55" s="14" t="s">
        <v>78</v>
      </c>
      <c r="K55" s="14" t="s">
        <v>53</v>
      </c>
    </row>
    <row r="56" spans="1:11">
      <c r="A56" s="17">
        <v>52</v>
      </c>
      <c r="B56" s="17" t="s">
        <v>143</v>
      </c>
      <c r="C56" s="17" t="s">
        <v>156</v>
      </c>
      <c r="D56" s="17" t="s">
        <v>68</v>
      </c>
      <c r="E56" s="8" t="s">
        <v>40</v>
      </c>
      <c r="F56" s="8" t="s">
        <v>161</v>
      </c>
      <c r="G56" s="8" t="s">
        <v>69</v>
      </c>
      <c r="H56" s="23">
        <v>100000000</v>
      </c>
      <c r="I56" s="9">
        <v>0</v>
      </c>
      <c r="J56" s="17" t="s">
        <v>78</v>
      </c>
      <c r="K56" s="17" t="s">
        <v>53</v>
      </c>
    </row>
    <row r="57" spans="1:11">
      <c r="A57" s="14">
        <v>53</v>
      </c>
      <c r="B57" s="14" t="s">
        <v>143</v>
      </c>
      <c r="C57" s="14" t="s">
        <v>162</v>
      </c>
      <c r="D57" s="14" t="s">
        <v>68</v>
      </c>
      <c r="E57" s="5" t="s">
        <v>40</v>
      </c>
      <c r="F57" s="5" t="s">
        <v>163</v>
      </c>
      <c r="G57" s="5" t="s">
        <v>69</v>
      </c>
      <c r="H57" s="28">
        <v>297600000</v>
      </c>
      <c r="I57" s="6">
        <v>0</v>
      </c>
      <c r="J57" s="14" t="s">
        <v>78</v>
      </c>
      <c r="K57" s="14" t="s">
        <v>53</v>
      </c>
    </row>
    <row r="58" spans="1:11">
      <c r="A58" s="17">
        <v>54</v>
      </c>
      <c r="B58" s="17" t="s">
        <v>143</v>
      </c>
      <c r="C58" s="17" t="s">
        <v>164</v>
      </c>
      <c r="D58" s="17" t="s">
        <v>68</v>
      </c>
      <c r="E58" s="8" t="s">
        <v>40</v>
      </c>
      <c r="F58" s="8" t="s">
        <v>165</v>
      </c>
      <c r="G58" s="8" t="s">
        <v>69</v>
      </c>
      <c r="H58" s="23">
        <v>148800000</v>
      </c>
      <c r="I58" s="9">
        <v>0</v>
      </c>
      <c r="J58" s="17" t="s">
        <v>78</v>
      </c>
      <c r="K58" s="17" t="s">
        <v>53</v>
      </c>
    </row>
    <row r="59" spans="1:11">
      <c r="A59" s="14">
        <v>55</v>
      </c>
      <c r="B59" s="14" t="s">
        <v>143</v>
      </c>
      <c r="C59" s="14" t="s">
        <v>164</v>
      </c>
      <c r="D59" s="14" t="s">
        <v>68</v>
      </c>
      <c r="E59" s="5" t="s">
        <v>35</v>
      </c>
      <c r="F59" s="5" t="s">
        <v>69</v>
      </c>
      <c r="G59" s="5" t="s">
        <v>70</v>
      </c>
      <c r="H59" s="6">
        <v>0</v>
      </c>
      <c r="I59" s="22">
        <v>6858000</v>
      </c>
      <c r="J59" s="14" t="s">
        <v>71</v>
      </c>
      <c r="K59" s="14" t="s">
        <v>53</v>
      </c>
    </row>
    <row r="60" spans="1:11">
      <c r="A60" s="17">
        <v>56</v>
      </c>
      <c r="B60" s="17" t="s">
        <v>143</v>
      </c>
      <c r="C60" s="17" t="s">
        <v>166</v>
      </c>
      <c r="D60" s="17" t="s">
        <v>68</v>
      </c>
      <c r="E60" s="8" t="s">
        <v>45</v>
      </c>
      <c r="F60" s="8" t="s">
        <v>167</v>
      </c>
      <c r="G60" s="8" t="s">
        <v>69</v>
      </c>
      <c r="H60" s="23">
        <v>13000000</v>
      </c>
      <c r="I60" s="9">
        <v>0</v>
      </c>
      <c r="J60" s="17" t="s">
        <v>78</v>
      </c>
      <c r="K60" s="17" t="s">
        <v>53</v>
      </c>
    </row>
    <row r="61" spans="1:11">
      <c r="A61" s="14">
        <v>57</v>
      </c>
      <c r="B61" s="14" t="s">
        <v>143</v>
      </c>
      <c r="C61" s="14" t="s">
        <v>168</v>
      </c>
      <c r="D61" s="14" t="s">
        <v>68</v>
      </c>
      <c r="E61" s="5" t="s">
        <v>43</v>
      </c>
      <c r="F61" s="5" t="s">
        <v>169</v>
      </c>
      <c r="G61" s="5" t="s">
        <v>170</v>
      </c>
      <c r="H61" s="28">
        <v>8100000</v>
      </c>
      <c r="I61" s="6">
        <v>0</v>
      </c>
      <c r="J61" s="14" t="s">
        <v>87</v>
      </c>
      <c r="K61" s="14" t="s">
        <v>53</v>
      </c>
    </row>
    <row r="62" spans="1:11">
      <c r="A62" s="17">
        <v>58</v>
      </c>
      <c r="B62" s="17" t="s">
        <v>143</v>
      </c>
      <c r="C62" s="17" t="s">
        <v>168</v>
      </c>
      <c r="D62" s="17" t="s">
        <v>68</v>
      </c>
      <c r="E62" s="8" t="s">
        <v>50</v>
      </c>
      <c r="F62" s="8" t="s">
        <v>69</v>
      </c>
      <c r="G62" s="8" t="s">
        <v>171</v>
      </c>
      <c r="H62" s="23">
        <v>2500</v>
      </c>
      <c r="I62" s="9">
        <v>0</v>
      </c>
      <c r="J62" s="17" t="s">
        <v>87</v>
      </c>
      <c r="K62" s="17" t="s">
        <v>53</v>
      </c>
    </row>
    <row r="63" spans="1:11">
      <c r="A63" s="14">
        <v>59</v>
      </c>
      <c r="B63" s="14" t="s">
        <v>143</v>
      </c>
      <c r="C63" s="14" t="s">
        <v>172</v>
      </c>
      <c r="D63" s="14" t="s">
        <v>68</v>
      </c>
      <c r="E63" s="5" t="s">
        <v>43</v>
      </c>
      <c r="F63" s="5" t="s">
        <v>173</v>
      </c>
      <c r="G63" s="5" t="s">
        <v>174</v>
      </c>
      <c r="H63" s="28">
        <v>14000000</v>
      </c>
      <c r="I63" s="6">
        <v>0</v>
      </c>
      <c r="J63" s="14" t="s">
        <v>87</v>
      </c>
      <c r="K63" s="14" t="s">
        <v>53</v>
      </c>
    </row>
    <row r="64" spans="1:11">
      <c r="A64" s="17">
        <v>60</v>
      </c>
      <c r="B64" s="17" t="s">
        <v>143</v>
      </c>
      <c r="C64" s="17" t="s">
        <v>172</v>
      </c>
      <c r="D64" s="17" t="s">
        <v>68</v>
      </c>
      <c r="E64" s="8" t="s">
        <v>50</v>
      </c>
      <c r="F64" s="8" t="s">
        <v>69</v>
      </c>
      <c r="G64" s="8" t="s">
        <v>175</v>
      </c>
      <c r="H64" s="23">
        <v>2500</v>
      </c>
      <c r="I64" s="9">
        <v>0</v>
      </c>
      <c r="J64" s="17" t="s">
        <v>87</v>
      </c>
      <c r="K64" s="17" t="s">
        <v>53</v>
      </c>
    </row>
    <row r="65" spans="1:11">
      <c r="A65" s="14">
        <v>61</v>
      </c>
      <c r="B65" s="14" t="s">
        <v>143</v>
      </c>
      <c r="C65" s="14" t="s">
        <v>172</v>
      </c>
      <c r="D65" s="14" t="s">
        <v>68</v>
      </c>
      <c r="E65" s="5" t="s">
        <v>45</v>
      </c>
      <c r="F65" s="5" t="s">
        <v>176</v>
      </c>
      <c r="G65" s="5" t="s">
        <v>177</v>
      </c>
      <c r="H65" s="28">
        <v>20500000</v>
      </c>
      <c r="I65" s="6">
        <v>0</v>
      </c>
      <c r="J65" s="14" t="s">
        <v>87</v>
      </c>
      <c r="K65" s="14" t="s">
        <v>53</v>
      </c>
    </row>
    <row r="66" spans="1:11">
      <c r="A66" s="17">
        <v>62</v>
      </c>
      <c r="B66" s="17" t="s">
        <v>143</v>
      </c>
      <c r="C66" s="17" t="s">
        <v>172</v>
      </c>
      <c r="D66" s="17" t="s">
        <v>68</v>
      </c>
      <c r="E66" s="8" t="s">
        <v>50</v>
      </c>
      <c r="F66" s="8" t="s">
        <v>69</v>
      </c>
      <c r="G66" s="8" t="s">
        <v>178</v>
      </c>
      <c r="H66" s="23">
        <v>2500</v>
      </c>
      <c r="I66" s="9">
        <v>0</v>
      </c>
      <c r="J66" s="17" t="s">
        <v>87</v>
      </c>
      <c r="K66" s="17" t="s">
        <v>53</v>
      </c>
    </row>
    <row r="67" spans="1:11">
      <c r="A67" s="14">
        <v>63</v>
      </c>
      <c r="B67" s="14" t="s">
        <v>143</v>
      </c>
      <c r="C67" s="14" t="s">
        <v>179</v>
      </c>
      <c r="D67" s="14" t="s">
        <v>68</v>
      </c>
      <c r="E67" s="5" t="s">
        <v>45</v>
      </c>
      <c r="F67" s="5" t="s">
        <v>180</v>
      </c>
      <c r="G67" s="5" t="s">
        <v>69</v>
      </c>
      <c r="H67" s="28">
        <v>10000000</v>
      </c>
      <c r="I67" s="6">
        <v>0</v>
      </c>
      <c r="J67" s="14" t="s">
        <v>78</v>
      </c>
      <c r="K67" s="14" t="s">
        <v>53</v>
      </c>
    </row>
    <row r="68" spans="1:11">
      <c r="A68" s="17">
        <v>64</v>
      </c>
      <c r="B68" s="17" t="s">
        <v>143</v>
      </c>
      <c r="C68" s="17" t="s">
        <v>179</v>
      </c>
      <c r="D68" s="17" t="s">
        <v>68</v>
      </c>
      <c r="E68" s="8" t="s">
        <v>48</v>
      </c>
      <c r="F68" s="8" t="s">
        <v>181</v>
      </c>
      <c r="G68" s="8" t="s">
        <v>182</v>
      </c>
      <c r="H68" s="23">
        <v>746253</v>
      </c>
      <c r="I68" s="9">
        <v>0</v>
      </c>
      <c r="J68" s="17" t="s">
        <v>87</v>
      </c>
      <c r="K68" s="17" t="s">
        <v>53</v>
      </c>
    </row>
    <row r="69" spans="1:11">
      <c r="A69" s="14">
        <v>65</v>
      </c>
      <c r="B69" s="14" t="s">
        <v>143</v>
      </c>
      <c r="C69" s="14" t="s">
        <v>179</v>
      </c>
      <c r="D69" s="14" t="s">
        <v>68</v>
      </c>
      <c r="E69" s="5" t="s">
        <v>50</v>
      </c>
      <c r="F69" s="5" t="s">
        <v>69</v>
      </c>
      <c r="G69" s="5" t="s">
        <v>183</v>
      </c>
      <c r="H69" s="28">
        <v>2500</v>
      </c>
      <c r="I69" s="6">
        <v>0</v>
      </c>
      <c r="J69" s="14" t="s">
        <v>87</v>
      </c>
      <c r="K69" s="14" t="s">
        <v>53</v>
      </c>
    </row>
    <row r="70" spans="1:11">
      <c r="A70" s="17">
        <v>66</v>
      </c>
      <c r="B70" s="17" t="s">
        <v>143</v>
      </c>
      <c r="C70" s="17" t="s">
        <v>184</v>
      </c>
      <c r="D70" s="17" t="s">
        <v>68</v>
      </c>
      <c r="E70" s="8" t="s">
        <v>45</v>
      </c>
      <c r="F70" s="8" t="s">
        <v>185</v>
      </c>
      <c r="G70" s="8" t="s">
        <v>69</v>
      </c>
      <c r="H70" s="23">
        <v>50000000</v>
      </c>
      <c r="I70" s="9">
        <v>0</v>
      </c>
      <c r="J70" s="17" t="s">
        <v>78</v>
      </c>
      <c r="K70" s="17" t="s">
        <v>53</v>
      </c>
    </row>
    <row r="71" spans="1:11">
      <c r="A71" s="24">
        <v>67</v>
      </c>
      <c r="B71" s="24" t="s">
        <v>143</v>
      </c>
      <c r="C71" s="24" t="s">
        <v>186</v>
      </c>
      <c r="D71" s="24" t="s">
        <v>68</v>
      </c>
      <c r="E71" s="25" t="s">
        <v>29</v>
      </c>
      <c r="F71" s="25" t="s">
        <v>76</v>
      </c>
      <c r="G71" s="25" t="s">
        <v>187</v>
      </c>
      <c r="H71" s="26">
        <v>0</v>
      </c>
      <c r="I71" s="27">
        <v>867774880</v>
      </c>
      <c r="J71" s="24" t="s">
        <v>78</v>
      </c>
      <c r="K71" s="24" t="s">
        <v>53</v>
      </c>
    </row>
    <row r="72" spans="1:11">
      <c r="A72" s="17">
        <v>68</v>
      </c>
      <c r="B72" s="17" t="s">
        <v>143</v>
      </c>
      <c r="C72" s="17" t="s">
        <v>186</v>
      </c>
      <c r="D72" s="17" t="s">
        <v>68</v>
      </c>
      <c r="E72" s="8" t="s">
        <v>43</v>
      </c>
      <c r="F72" s="8" t="s">
        <v>188</v>
      </c>
      <c r="G72" s="8" t="s">
        <v>189</v>
      </c>
      <c r="H72" s="23">
        <v>133726880</v>
      </c>
      <c r="I72" s="9">
        <v>0</v>
      </c>
      <c r="J72" s="17" t="s">
        <v>87</v>
      </c>
      <c r="K72" s="17" t="s">
        <v>53</v>
      </c>
    </row>
    <row r="73" spans="1:11">
      <c r="A73" s="29">
        <v>69</v>
      </c>
      <c r="B73" s="29" t="s">
        <v>143</v>
      </c>
      <c r="C73" s="29" t="s">
        <v>186</v>
      </c>
      <c r="D73" s="29" t="s">
        <v>68</v>
      </c>
      <c r="E73" s="30" t="s">
        <v>40</v>
      </c>
      <c r="F73" s="30" t="s">
        <v>190</v>
      </c>
      <c r="G73" s="30" t="s">
        <v>69</v>
      </c>
      <c r="H73" s="31">
        <v>532000000</v>
      </c>
      <c r="I73" s="32">
        <v>0</v>
      </c>
      <c r="J73" s="29" t="s">
        <v>78</v>
      </c>
      <c r="K73" s="29" t="s">
        <v>53</v>
      </c>
    </row>
    <row r="74" spans="1:11">
      <c r="A74" s="17">
        <v>70</v>
      </c>
      <c r="B74" s="17" t="s">
        <v>143</v>
      </c>
      <c r="C74" s="17" t="s">
        <v>186</v>
      </c>
      <c r="D74" s="17" t="s">
        <v>68</v>
      </c>
      <c r="E74" s="8" t="s">
        <v>50</v>
      </c>
      <c r="F74" s="8" t="s">
        <v>69</v>
      </c>
      <c r="G74" s="8" t="s">
        <v>191</v>
      </c>
      <c r="H74" s="23">
        <v>2500</v>
      </c>
      <c r="I74" s="9">
        <v>0</v>
      </c>
      <c r="J74" s="17" t="s">
        <v>87</v>
      </c>
      <c r="K74" s="17" t="s">
        <v>53</v>
      </c>
    </row>
    <row r="75" spans="1:11">
      <c r="A75" s="14">
        <v>71</v>
      </c>
      <c r="B75" s="14" t="s">
        <v>143</v>
      </c>
      <c r="C75" s="14" t="s">
        <v>186</v>
      </c>
      <c r="D75" s="14" t="s">
        <v>68</v>
      </c>
      <c r="E75" s="5" t="s">
        <v>45</v>
      </c>
      <c r="F75" s="5" t="s">
        <v>192</v>
      </c>
      <c r="G75" s="5" t="s">
        <v>69</v>
      </c>
      <c r="H75" s="28">
        <v>202000000</v>
      </c>
      <c r="I75" s="6">
        <v>0</v>
      </c>
      <c r="J75" s="14" t="s">
        <v>78</v>
      </c>
      <c r="K75" s="14" t="s">
        <v>53</v>
      </c>
    </row>
    <row r="76" spans="1:11">
      <c r="A76" s="17">
        <v>72</v>
      </c>
      <c r="B76" s="17" t="s">
        <v>143</v>
      </c>
      <c r="C76" s="17" t="s">
        <v>186</v>
      </c>
      <c r="D76" s="17" t="s">
        <v>68</v>
      </c>
      <c r="E76" s="8" t="s">
        <v>43</v>
      </c>
      <c r="F76" s="8" t="s">
        <v>188</v>
      </c>
      <c r="G76" s="8" t="s">
        <v>193</v>
      </c>
      <c r="H76" s="23">
        <v>225000</v>
      </c>
      <c r="I76" s="9">
        <v>0</v>
      </c>
      <c r="J76" s="17" t="s">
        <v>87</v>
      </c>
      <c r="K76" s="17" t="s">
        <v>53</v>
      </c>
    </row>
    <row r="77" spans="1:11">
      <c r="A77" s="14">
        <v>73</v>
      </c>
      <c r="B77" s="14" t="s">
        <v>143</v>
      </c>
      <c r="C77" s="14" t="s">
        <v>186</v>
      </c>
      <c r="D77" s="14" t="s">
        <v>68</v>
      </c>
      <c r="E77" s="5" t="s">
        <v>50</v>
      </c>
      <c r="F77" s="5" t="s">
        <v>69</v>
      </c>
      <c r="G77" s="5" t="s">
        <v>194</v>
      </c>
      <c r="H77" s="28">
        <v>2500</v>
      </c>
      <c r="I77" s="6">
        <v>0</v>
      </c>
      <c r="J77" s="14" t="s">
        <v>87</v>
      </c>
      <c r="K77" s="14" t="s">
        <v>53</v>
      </c>
    </row>
    <row r="78" spans="1:11">
      <c r="A78" s="17">
        <v>74</v>
      </c>
      <c r="B78" s="17" t="s">
        <v>143</v>
      </c>
      <c r="C78" s="17" t="s">
        <v>195</v>
      </c>
      <c r="D78" s="17" t="s">
        <v>68</v>
      </c>
      <c r="E78" s="8" t="s">
        <v>38</v>
      </c>
      <c r="F78" s="8" t="s">
        <v>196</v>
      </c>
      <c r="G78" s="8" t="s">
        <v>69</v>
      </c>
      <c r="H78" s="9">
        <v>0</v>
      </c>
      <c r="I78" s="33">
        <v>42000000</v>
      </c>
      <c r="J78" s="17" t="s">
        <v>197</v>
      </c>
      <c r="K78" s="17" t="s">
        <v>53</v>
      </c>
    </row>
    <row r="79" spans="1:11">
      <c r="A79" s="14">
        <v>75</v>
      </c>
      <c r="B79" s="14" t="s">
        <v>143</v>
      </c>
      <c r="C79" s="14" t="s">
        <v>198</v>
      </c>
      <c r="D79" s="14" t="s">
        <v>68</v>
      </c>
      <c r="E79" s="5" t="s">
        <v>49</v>
      </c>
      <c r="F79" s="5" t="s">
        <v>113</v>
      </c>
      <c r="G79" s="5" t="s">
        <v>69</v>
      </c>
      <c r="H79" s="28">
        <v>25000</v>
      </c>
      <c r="I79" s="6">
        <v>0</v>
      </c>
      <c r="J79" s="14" t="s">
        <v>114</v>
      </c>
      <c r="K79" s="14" t="s">
        <v>53</v>
      </c>
    </row>
    <row r="80" spans="1:11">
      <c r="A80" s="17">
        <v>76</v>
      </c>
      <c r="B80" s="17" t="s">
        <v>143</v>
      </c>
      <c r="C80" s="17" t="s">
        <v>198</v>
      </c>
      <c r="D80" s="17" t="s">
        <v>68</v>
      </c>
      <c r="E80" s="8" t="s">
        <v>39</v>
      </c>
      <c r="F80" s="8" t="s">
        <v>115</v>
      </c>
      <c r="G80" s="8" t="s">
        <v>69</v>
      </c>
      <c r="H80" s="9">
        <v>0</v>
      </c>
      <c r="I80" s="33">
        <v>22556.18</v>
      </c>
      <c r="J80" s="17" t="s">
        <v>116</v>
      </c>
      <c r="K80" s="17" t="s">
        <v>53</v>
      </c>
    </row>
    <row r="81" spans="1:11">
      <c r="A81" s="14">
        <v>77</v>
      </c>
      <c r="B81" s="14" t="s">
        <v>143</v>
      </c>
      <c r="C81" s="14" t="s">
        <v>198</v>
      </c>
      <c r="D81" s="14" t="s">
        <v>68</v>
      </c>
      <c r="E81" s="5" t="s">
        <v>51</v>
      </c>
      <c r="F81" s="5" t="s">
        <v>117</v>
      </c>
      <c r="G81" s="5" t="s">
        <v>69</v>
      </c>
      <c r="H81" s="28">
        <v>4511.24</v>
      </c>
      <c r="I81" s="6">
        <v>0</v>
      </c>
      <c r="J81" s="14" t="s">
        <v>118</v>
      </c>
      <c r="K81" s="14" t="s">
        <v>53</v>
      </c>
    </row>
    <row r="82" spans="1:11">
      <c r="A82" s="17">
        <v>78</v>
      </c>
      <c r="B82" s="17" t="s">
        <v>199</v>
      </c>
      <c r="C82" s="17" t="s">
        <v>200</v>
      </c>
      <c r="D82" s="17" t="s">
        <v>68</v>
      </c>
      <c r="E82" s="8" t="s">
        <v>47</v>
      </c>
      <c r="F82" s="8" t="s">
        <v>201</v>
      </c>
      <c r="G82" s="8" t="s">
        <v>202</v>
      </c>
      <c r="H82" s="23">
        <v>21252500</v>
      </c>
      <c r="I82" s="9">
        <v>0</v>
      </c>
      <c r="J82" s="17" t="s">
        <v>74</v>
      </c>
      <c r="K82" s="17" t="s">
        <v>53</v>
      </c>
    </row>
    <row r="83" spans="1:11">
      <c r="A83" s="14">
        <v>79</v>
      </c>
      <c r="B83" s="14" t="s">
        <v>199</v>
      </c>
      <c r="C83" s="14" t="s">
        <v>200</v>
      </c>
      <c r="D83" s="14" t="s">
        <v>68</v>
      </c>
      <c r="E83" s="5" t="s">
        <v>47</v>
      </c>
      <c r="F83" s="5" t="s">
        <v>201</v>
      </c>
      <c r="G83" s="5" t="s">
        <v>203</v>
      </c>
      <c r="H83" s="28">
        <v>21252500</v>
      </c>
      <c r="I83" s="6">
        <v>0</v>
      </c>
      <c r="J83" s="14" t="s">
        <v>74</v>
      </c>
      <c r="K83" s="14" t="s">
        <v>53</v>
      </c>
    </row>
    <row r="84" spans="1:11">
      <c r="A84" s="24">
        <v>80</v>
      </c>
      <c r="B84" s="24" t="s">
        <v>199</v>
      </c>
      <c r="C84" s="24" t="s">
        <v>204</v>
      </c>
      <c r="D84" s="24" t="s">
        <v>68</v>
      </c>
      <c r="E84" s="25" t="s">
        <v>29</v>
      </c>
      <c r="F84" s="25" t="s">
        <v>76</v>
      </c>
      <c r="G84" s="25" t="s">
        <v>205</v>
      </c>
      <c r="H84" s="26">
        <v>0</v>
      </c>
      <c r="I84" s="27">
        <v>1510427200</v>
      </c>
      <c r="J84" s="24" t="s">
        <v>78</v>
      </c>
      <c r="K84" s="24" t="s">
        <v>53</v>
      </c>
    </row>
    <row r="85" spans="1:11">
      <c r="A85" s="14">
        <v>81</v>
      </c>
      <c r="B85" s="14" t="s">
        <v>199</v>
      </c>
      <c r="C85" s="14" t="s">
        <v>204</v>
      </c>
      <c r="D85" s="14" t="s">
        <v>68</v>
      </c>
      <c r="E85" s="5" t="s">
        <v>29</v>
      </c>
      <c r="F85" s="5" t="s">
        <v>108</v>
      </c>
      <c r="G85" s="5" t="s">
        <v>206</v>
      </c>
      <c r="H85" s="6">
        <v>0</v>
      </c>
      <c r="I85" s="22">
        <v>37060000</v>
      </c>
      <c r="J85" s="14" t="s">
        <v>78</v>
      </c>
      <c r="K85" s="14" t="s">
        <v>53</v>
      </c>
    </row>
    <row r="86" spans="1:11">
      <c r="A86" s="17">
        <v>82</v>
      </c>
      <c r="B86" s="17" t="s">
        <v>199</v>
      </c>
      <c r="C86" s="17" t="s">
        <v>207</v>
      </c>
      <c r="D86" s="17" t="s">
        <v>68</v>
      </c>
      <c r="E86" s="8" t="s">
        <v>47</v>
      </c>
      <c r="F86" s="8" t="s">
        <v>208</v>
      </c>
      <c r="G86" s="8" t="s">
        <v>209</v>
      </c>
      <c r="H86" s="23">
        <v>15154500</v>
      </c>
      <c r="I86" s="9">
        <v>0</v>
      </c>
      <c r="J86" s="17" t="s">
        <v>74</v>
      </c>
      <c r="K86" s="17" t="s">
        <v>53</v>
      </c>
    </row>
    <row r="87" spans="1:11">
      <c r="A87" s="14">
        <v>83</v>
      </c>
      <c r="B87" s="14" t="s">
        <v>199</v>
      </c>
      <c r="C87" s="14" t="s">
        <v>207</v>
      </c>
      <c r="D87" s="14" t="s">
        <v>68</v>
      </c>
      <c r="E87" s="5" t="s">
        <v>47</v>
      </c>
      <c r="F87" s="5" t="s">
        <v>208</v>
      </c>
      <c r="G87" s="5" t="s">
        <v>210</v>
      </c>
      <c r="H87" s="28">
        <v>15154500</v>
      </c>
      <c r="I87" s="6">
        <v>0</v>
      </c>
      <c r="J87" s="14" t="s">
        <v>74</v>
      </c>
      <c r="K87" s="14" t="s">
        <v>53</v>
      </c>
    </row>
    <row r="88" spans="1:11">
      <c r="A88" s="17">
        <v>84</v>
      </c>
      <c r="B88" s="17" t="s">
        <v>199</v>
      </c>
      <c r="C88" s="17" t="s">
        <v>207</v>
      </c>
      <c r="D88" s="17" t="s">
        <v>68</v>
      </c>
      <c r="E88" s="8" t="s">
        <v>47</v>
      </c>
      <c r="F88" s="8" t="s">
        <v>208</v>
      </c>
      <c r="G88" s="8" t="s">
        <v>211</v>
      </c>
      <c r="H88" s="23">
        <v>15154500</v>
      </c>
      <c r="I88" s="9">
        <v>0</v>
      </c>
      <c r="J88" s="17" t="s">
        <v>74</v>
      </c>
      <c r="K88" s="17" t="s">
        <v>53</v>
      </c>
    </row>
    <row r="89" spans="1:11">
      <c r="A89" s="14">
        <v>85</v>
      </c>
      <c r="B89" s="14" t="s">
        <v>199</v>
      </c>
      <c r="C89" s="14" t="s">
        <v>207</v>
      </c>
      <c r="D89" s="14" t="s">
        <v>68</v>
      </c>
      <c r="E89" s="5" t="s">
        <v>43</v>
      </c>
      <c r="F89" s="5" t="s">
        <v>212</v>
      </c>
      <c r="G89" s="5" t="s">
        <v>213</v>
      </c>
      <c r="H89" s="28">
        <v>237047200</v>
      </c>
      <c r="I89" s="6">
        <v>0</v>
      </c>
      <c r="J89" s="14" t="s">
        <v>87</v>
      </c>
      <c r="K89" s="14" t="s">
        <v>53</v>
      </c>
    </row>
    <row r="90" spans="1:11">
      <c r="A90" s="17">
        <v>86</v>
      </c>
      <c r="B90" s="17" t="s">
        <v>199</v>
      </c>
      <c r="C90" s="17" t="s">
        <v>207</v>
      </c>
      <c r="D90" s="17" t="s">
        <v>68</v>
      </c>
      <c r="E90" s="8" t="s">
        <v>50</v>
      </c>
      <c r="F90" s="8" t="s">
        <v>69</v>
      </c>
      <c r="G90" s="8" t="s">
        <v>214</v>
      </c>
      <c r="H90" s="23">
        <v>2500</v>
      </c>
      <c r="I90" s="9">
        <v>0</v>
      </c>
      <c r="J90" s="17" t="s">
        <v>87</v>
      </c>
      <c r="K90" s="17" t="s">
        <v>53</v>
      </c>
    </row>
    <row r="91" spans="1:11">
      <c r="A91" s="14">
        <v>87</v>
      </c>
      <c r="B91" s="14" t="s">
        <v>199</v>
      </c>
      <c r="C91" s="14" t="s">
        <v>207</v>
      </c>
      <c r="D91" s="14" t="s">
        <v>68</v>
      </c>
      <c r="E91" s="5" t="s">
        <v>40</v>
      </c>
      <c r="F91" s="5" t="s">
        <v>215</v>
      </c>
      <c r="G91" s="5" t="s">
        <v>69</v>
      </c>
      <c r="H91" s="28">
        <v>70000000</v>
      </c>
      <c r="I91" s="6">
        <v>0</v>
      </c>
      <c r="J91" s="14" t="s">
        <v>78</v>
      </c>
      <c r="K91" s="14" t="s">
        <v>53</v>
      </c>
    </row>
    <row r="92" spans="1:11">
      <c r="A92" s="29">
        <v>88</v>
      </c>
      <c r="B92" s="29" t="s">
        <v>199</v>
      </c>
      <c r="C92" s="29" t="s">
        <v>207</v>
      </c>
      <c r="D92" s="29" t="s">
        <v>68</v>
      </c>
      <c r="E92" s="30" t="s">
        <v>42</v>
      </c>
      <c r="F92" s="30" t="s">
        <v>216</v>
      </c>
      <c r="G92" s="30" t="s">
        <v>217</v>
      </c>
      <c r="H92" s="31">
        <v>1000000000</v>
      </c>
      <c r="I92" s="32">
        <v>0</v>
      </c>
      <c r="J92" s="29" t="s">
        <v>97</v>
      </c>
      <c r="K92" s="29" t="s">
        <v>53</v>
      </c>
    </row>
    <row r="93" spans="1:11">
      <c r="A93" s="14">
        <v>89</v>
      </c>
      <c r="B93" s="14" t="s">
        <v>199</v>
      </c>
      <c r="C93" s="14" t="s">
        <v>218</v>
      </c>
      <c r="D93" s="14" t="s">
        <v>68</v>
      </c>
      <c r="E93" s="5" t="s">
        <v>40</v>
      </c>
      <c r="F93" s="5" t="s">
        <v>219</v>
      </c>
      <c r="G93" s="5" t="s">
        <v>69</v>
      </c>
      <c r="H93" s="28">
        <v>100000000</v>
      </c>
      <c r="I93" s="6">
        <v>0</v>
      </c>
      <c r="J93" s="14" t="s">
        <v>78</v>
      </c>
      <c r="K93" s="14" t="s">
        <v>53</v>
      </c>
    </row>
    <row r="94" spans="1:11">
      <c r="A94" s="17">
        <v>90</v>
      </c>
      <c r="B94" s="17" t="s">
        <v>199</v>
      </c>
      <c r="C94" s="17" t="s">
        <v>218</v>
      </c>
      <c r="D94" s="17" t="s">
        <v>68</v>
      </c>
      <c r="E94" s="8" t="s">
        <v>45</v>
      </c>
      <c r="F94" s="8" t="s">
        <v>220</v>
      </c>
      <c r="G94" s="8" t="s">
        <v>69</v>
      </c>
      <c r="H94" s="23">
        <v>50000000</v>
      </c>
      <c r="I94" s="9">
        <v>0</v>
      </c>
      <c r="J94" s="17" t="s">
        <v>78</v>
      </c>
      <c r="K94" s="17" t="s">
        <v>53</v>
      </c>
    </row>
    <row r="95" spans="1:11">
      <c r="A95" s="24">
        <v>91</v>
      </c>
      <c r="B95" s="24" t="s">
        <v>199</v>
      </c>
      <c r="C95" s="24" t="s">
        <v>221</v>
      </c>
      <c r="D95" s="24" t="s">
        <v>68</v>
      </c>
      <c r="E95" s="25" t="s">
        <v>29</v>
      </c>
      <c r="F95" s="25" t="s">
        <v>108</v>
      </c>
      <c r="G95" s="25" t="s">
        <v>222</v>
      </c>
      <c r="H95" s="26">
        <v>0</v>
      </c>
      <c r="I95" s="27">
        <v>1510427200</v>
      </c>
      <c r="J95" s="24" t="s">
        <v>78</v>
      </c>
      <c r="K95" s="24" t="s">
        <v>53</v>
      </c>
    </row>
    <row r="96" spans="1:11">
      <c r="A96" s="17">
        <v>92</v>
      </c>
      <c r="B96" s="17" t="s">
        <v>199</v>
      </c>
      <c r="C96" s="17" t="s">
        <v>223</v>
      </c>
      <c r="D96" s="17" t="s">
        <v>68</v>
      </c>
      <c r="E96" s="8" t="s">
        <v>46</v>
      </c>
      <c r="F96" s="8" t="s">
        <v>224</v>
      </c>
      <c r="G96" s="8" t="s">
        <v>225</v>
      </c>
      <c r="H96" s="23">
        <v>150284000</v>
      </c>
      <c r="I96" s="9">
        <v>0</v>
      </c>
      <c r="J96" s="17" t="s">
        <v>78</v>
      </c>
      <c r="K96" s="17" t="s">
        <v>53</v>
      </c>
    </row>
    <row r="97" spans="1:11">
      <c r="A97" s="14">
        <v>93</v>
      </c>
      <c r="B97" s="14" t="s">
        <v>199</v>
      </c>
      <c r="C97" s="14" t="s">
        <v>226</v>
      </c>
      <c r="D97" s="14" t="s">
        <v>68</v>
      </c>
      <c r="E97" s="5" t="s">
        <v>43</v>
      </c>
      <c r="F97" s="5" t="s">
        <v>227</v>
      </c>
      <c r="G97" s="5" t="s">
        <v>228</v>
      </c>
      <c r="H97" s="28">
        <v>10000000</v>
      </c>
      <c r="I97" s="6">
        <v>0</v>
      </c>
      <c r="J97" s="14" t="s">
        <v>87</v>
      </c>
      <c r="K97" s="14" t="s">
        <v>53</v>
      </c>
    </row>
    <row r="98" spans="1:11">
      <c r="A98" s="17">
        <v>94</v>
      </c>
      <c r="B98" s="17" t="s">
        <v>199</v>
      </c>
      <c r="C98" s="17" t="s">
        <v>226</v>
      </c>
      <c r="D98" s="17" t="s">
        <v>68</v>
      </c>
      <c r="E98" s="8" t="s">
        <v>50</v>
      </c>
      <c r="F98" s="8" t="s">
        <v>69</v>
      </c>
      <c r="G98" s="8" t="s">
        <v>229</v>
      </c>
      <c r="H98" s="23">
        <v>2500</v>
      </c>
      <c r="I98" s="9">
        <v>0</v>
      </c>
      <c r="J98" s="17" t="s">
        <v>87</v>
      </c>
      <c r="K98" s="17" t="s">
        <v>53</v>
      </c>
    </row>
    <row r="99" spans="1:11">
      <c r="A99" s="14">
        <v>95</v>
      </c>
      <c r="B99" s="14" t="s">
        <v>199</v>
      </c>
      <c r="C99" s="14" t="s">
        <v>226</v>
      </c>
      <c r="D99" s="14" t="s">
        <v>68</v>
      </c>
      <c r="E99" s="5" t="s">
        <v>43</v>
      </c>
      <c r="F99" s="5" t="s">
        <v>230</v>
      </c>
      <c r="G99" s="5" t="s">
        <v>231</v>
      </c>
      <c r="H99" s="28">
        <v>250000000</v>
      </c>
      <c r="I99" s="6">
        <v>0</v>
      </c>
      <c r="J99" s="14" t="s">
        <v>87</v>
      </c>
      <c r="K99" s="14" t="s">
        <v>53</v>
      </c>
    </row>
    <row r="100" spans="1:11">
      <c r="A100" s="17">
        <v>96</v>
      </c>
      <c r="B100" s="17" t="s">
        <v>199</v>
      </c>
      <c r="C100" s="17" t="s">
        <v>226</v>
      </c>
      <c r="D100" s="17" t="s">
        <v>68</v>
      </c>
      <c r="E100" s="8" t="s">
        <v>50</v>
      </c>
      <c r="F100" s="8" t="s">
        <v>69</v>
      </c>
      <c r="G100" s="8" t="s">
        <v>232</v>
      </c>
      <c r="H100" s="23">
        <v>2500</v>
      </c>
      <c r="I100" s="9">
        <v>0</v>
      </c>
      <c r="J100" s="17" t="s">
        <v>87</v>
      </c>
      <c r="K100" s="17" t="s">
        <v>53</v>
      </c>
    </row>
    <row r="101" spans="1:11">
      <c r="A101" s="14">
        <v>97</v>
      </c>
      <c r="B101" s="14" t="s">
        <v>199</v>
      </c>
      <c r="C101" s="14" t="s">
        <v>226</v>
      </c>
      <c r="D101" s="14" t="s">
        <v>68</v>
      </c>
      <c r="E101" s="5" t="s">
        <v>43</v>
      </c>
      <c r="F101" s="5" t="s">
        <v>230</v>
      </c>
      <c r="G101" s="5" t="s">
        <v>233</v>
      </c>
      <c r="H101" s="28">
        <v>250000000</v>
      </c>
      <c r="I101" s="6">
        <v>0</v>
      </c>
      <c r="J101" s="14" t="s">
        <v>87</v>
      </c>
      <c r="K101" s="14" t="s">
        <v>53</v>
      </c>
    </row>
    <row r="102" spans="1:11">
      <c r="A102" s="17">
        <v>98</v>
      </c>
      <c r="B102" s="17" t="s">
        <v>199</v>
      </c>
      <c r="C102" s="17" t="s">
        <v>226</v>
      </c>
      <c r="D102" s="17" t="s">
        <v>68</v>
      </c>
      <c r="E102" s="8" t="s">
        <v>50</v>
      </c>
      <c r="F102" s="8" t="s">
        <v>69</v>
      </c>
      <c r="G102" s="8" t="s">
        <v>234</v>
      </c>
      <c r="H102" s="23">
        <v>2500</v>
      </c>
      <c r="I102" s="9">
        <v>0</v>
      </c>
      <c r="J102" s="17" t="s">
        <v>87</v>
      </c>
      <c r="K102" s="17" t="s">
        <v>53</v>
      </c>
    </row>
    <row r="103" spans="1:11">
      <c r="A103" s="14">
        <v>99</v>
      </c>
      <c r="B103" s="14" t="s">
        <v>199</v>
      </c>
      <c r="C103" s="14" t="s">
        <v>226</v>
      </c>
      <c r="D103" s="14" t="s">
        <v>68</v>
      </c>
      <c r="E103" s="5" t="s">
        <v>43</v>
      </c>
      <c r="F103" s="5" t="s">
        <v>230</v>
      </c>
      <c r="G103" s="5" t="s">
        <v>235</v>
      </c>
      <c r="H103" s="28">
        <v>250000000</v>
      </c>
      <c r="I103" s="6">
        <v>0</v>
      </c>
      <c r="J103" s="14" t="s">
        <v>87</v>
      </c>
      <c r="K103" s="14" t="s">
        <v>53</v>
      </c>
    </row>
    <row r="104" spans="1:11">
      <c r="A104" s="17">
        <v>100</v>
      </c>
      <c r="B104" s="17" t="s">
        <v>199</v>
      </c>
      <c r="C104" s="17" t="s">
        <v>226</v>
      </c>
      <c r="D104" s="17" t="s">
        <v>68</v>
      </c>
      <c r="E104" s="8" t="s">
        <v>50</v>
      </c>
      <c r="F104" s="8" t="s">
        <v>69</v>
      </c>
      <c r="G104" s="8" t="s">
        <v>236</v>
      </c>
      <c r="H104" s="23">
        <v>2500</v>
      </c>
      <c r="I104" s="9">
        <v>0</v>
      </c>
      <c r="J104" s="17" t="s">
        <v>87</v>
      </c>
      <c r="K104" s="17" t="s">
        <v>53</v>
      </c>
    </row>
    <row r="105" spans="1:11">
      <c r="A105" s="14">
        <v>101</v>
      </c>
      <c r="B105" s="14" t="s">
        <v>199</v>
      </c>
      <c r="C105" s="14" t="s">
        <v>226</v>
      </c>
      <c r="D105" s="14" t="s">
        <v>68</v>
      </c>
      <c r="E105" s="5" t="s">
        <v>43</v>
      </c>
      <c r="F105" s="5" t="s">
        <v>230</v>
      </c>
      <c r="G105" s="5" t="s">
        <v>237</v>
      </c>
      <c r="H105" s="28">
        <v>250000000</v>
      </c>
      <c r="I105" s="6">
        <v>0</v>
      </c>
      <c r="J105" s="14" t="s">
        <v>87</v>
      </c>
      <c r="K105" s="14" t="s">
        <v>53</v>
      </c>
    </row>
    <row r="106" spans="1:11">
      <c r="A106" s="17">
        <v>102</v>
      </c>
      <c r="B106" s="17" t="s">
        <v>199</v>
      </c>
      <c r="C106" s="17" t="s">
        <v>226</v>
      </c>
      <c r="D106" s="17" t="s">
        <v>68</v>
      </c>
      <c r="E106" s="8" t="s">
        <v>50</v>
      </c>
      <c r="F106" s="8" t="s">
        <v>69</v>
      </c>
      <c r="G106" s="8" t="s">
        <v>238</v>
      </c>
      <c r="H106" s="23">
        <v>2500</v>
      </c>
      <c r="I106" s="9">
        <v>0</v>
      </c>
      <c r="J106" s="17" t="s">
        <v>87</v>
      </c>
      <c r="K106" s="17" t="s">
        <v>53</v>
      </c>
    </row>
    <row r="107" spans="1:11">
      <c r="A107" s="14">
        <v>103</v>
      </c>
      <c r="B107" s="14" t="s">
        <v>199</v>
      </c>
      <c r="C107" s="14" t="s">
        <v>226</v>
      </c>
      <c r="D107" s="14" t="s">
        <v>68</v>
      </c>
      <c r="E107" s="5" t="s">
        <v>43</v>
      </c>
      <c r="F107" s="5" t="s">
        <v>230</v>
      </c>
      <c r="G107" s="5" t="s">
        <v>239</v>
      </c>
      <c r="H107" s="28">
        <v>163832759</v>
      </c>
      <c r="I107" s="6">
        <v>0</v>
      </c>
      <c r="J107" s="14" t="s">
        <v>87</v>
      </c>
      <c r="K107" s="14" t="s">
        <v>53</v>
      </c>
    </row>
    <row r="108" spans="1:11">
      <c r="A108" s="17">
        <v>104</v>
      </c>
      <c r="B108" s="17" t="s">
        <v>199</v>
      </c>
      <c r="C108" s="17" t="s">
        <v>226</v>
      </c>
      <c r="D108" s="17" t="s">
        <v>68</v>
      </c>
      <c r="E108" s="8" t="s">
        <v>50</v>
      </c>
      <c r="F108" s="8" t="s">
        <v>69</v>
      </c>
      <c r="G108" s="8" t="s">
        <v>240</v>
      </c>
      <c r="H108" s="23">
        <v>2500</v>
      </c>
      <c r="I108" s="9">
        <v>0</v>
      </c>
      <c r="J108" s="17" t="s">
        <v>87</v>
      </c>
      <c r="K108" s="17" t="s">
        <v>53</v>
      </c>
    </row>
    <row r="109" spans="1:11">
      <c r="A109" s="14">
        <v>105</v>
      </c>
      <c r="B109" s="14" t="s">
        <v>199</v>
      </c>
      <c r="C109" s="14" t="s">
        <v>226</v>
      </c>
      <c r="D109" s="14" t="s">
        <v>68</v>
      </c>
      <c r="E109" s="5" t="s">
        <v>40</v>
      </c>
      <c r="F109" s="5" t="s">
        <v>241</v>
      </c>
      <c r="G109" s="5" t="s">
        <v>242</v>
      </c>
      <c r="H109" s="28">
        <v>102000000</v>
      </c>
      <c r="I109" s="6">
        <v>0</v>
      </c>
      <c r="J109" s="14" t="s">
        <v>87</v>
      </c>
      <c r="K109" s="14" t="s">
        <v>53</v>
      </c>
    </row>
    <row r="110" spans="1:11">
      <c r="A110" s="17">
        <v>106</v>
      </c>
      <c r="B110" s="17" t="s">
        <v>199</v>
      </c>
      <c r="C110" s="17" t="s">
        <v>226</v>
      </c>
      <c r="D110" s="17" t="s">
        <v>68</v>
      </c>
      <c r="E110" s="8" t="s">
        <v>50</v>
      </c>
      <c r="F110" s="8" t="s">
        <v>69</v>
      </c>
      <c r="G110" s="8" t="s">
        <v>243</v>
      </c>
      <c r="H110" s="23">
        <v>2500</v>
      </c>
      <c r="I110" s="9">
        <v>0</v>
      </c>
      <c r="J110" s="17" t="s">
        <v>87</v>
      </c>
      <c r="K110" s="17" t="s">
        <v>53</v>
      </c>
    </row>
    <row r="111" spans="1:11">
      <c r="A111" s="14">
        <v>107</v>
      </c>
      <c r="B111" s="14" t="s">
        <v>199</v>
      </c>
      <c r="C111" s="14" t="s">
        <v>244</v>
      </c>
      <c r="D111" s="14" t="s">
        <v>68</v>
      </c>
      <c r="E111" s="5" t="s">
        <v>45</v>
      </c>
      <c r="F111" s="5" t="s">
        <v>245</v>
      </c>
      <c r="G111" s="5" t="s">
        <v>69</v>
      </c>
      <c r="H111" s="28">
        <v>25000000</v>
      </c>
      <c r="I111" s="6">
        <v>0</v>
      </c>
      <c r="J111" s="14" t="s">
        <v>78</v>
      </c>
      <c r="K111" s="14" t="s">
        <v>53</v>
      </c>
    </row>
    <row r="112" spans="1:11">
      <c r="A112" s="17">
        <v>108</v>
      </c>
      <c r="B112" s="17" t="s">
        <v>199</v>
      </c>
      <c r="C112" s="17" t="s">
        <v>244</v>
      </c>
      <c r="D112" s="17" t="s">
        <v>68</v>
      </c>
      <c r="E112" s="8" t="s">
        <v>40</v>
      </c>
      <c r="F112" s="8" t="s">
        <v>246</v>
      </c>
      <c r="G112" s="8" t="s">
        <v>69</v>
      </c>
      <c r="H112" s="23">
        <v>50000000</v>
      </c>
      <c r="I112" s="9">
        <v>0</v>
      </c>
      <c r="J112" s="17" t="s">
        <v>78</v>
      </c>
      <c r="K112" s="17" t="s">
        <v>53</v>
      </c>
    </row>
    <row r="113" spans="1:11">
      <c r="A113" s="14">
        <v>109</v>
      </c>
      <c r="B113" s="14" t="s">
        <v>199</v>
      </c>
      <c r="C113" s="14" t="s">
        <v>244</v>
      </c>
      <c r="D113" s="14" t="s">
        <v>68</v>
      </c>
      <c r="E113" s="5" t="s">
        <v>45</v>
      </c>
      <c r="F113" s="5" t="s">
        <v>247</v>
      </c>
      <c r="G113" s="5" t="s">
        <v>69</v>
      </c>
      <c r="H113" s="28">
        <v>5000000</v>
      </c>
      <c r="I113" s="6">
        <v>0</v>
      </c>
      <c r="J113" s="14" t="s">
        <v>78</v>
      </c>
      <c r="K113" s="14" t="s">
        <v>53</v>
      </c>
    </row>
    <row r="114" spans="1:11">
      <c r="A114" s="17">
        <v>110</v>
      </c>
      <c r="B114" s="17" t="s">
        <v>199</v>
      </c>
      <c r="C114" s="17" t="s">
        <v>248</v>
      </c>
      <c r="D114" s="17" t="s">
        <v>68</v>
      </c>
      <c r="E114" s="8" t="s">
        <v>33</v>
      </c>
      <c r="F114" s="8" t="s">
        <v>249</v>
      </c>
      <c r="G114" s="8" t="s">
        <v>250</v>
      </c>
      <c r="H114" s="9">
        <v>0</v>
      </c>
      <c r="I114" s="33">
        <v>232363443</v>
      </c>
      <c r="J114" s="17" t="s">
        <v>251</v>
      </c>
      <c r="K114" s="17" t="s">
        <v>53</v>
      </c>
    </row>
    <row r="115" spans="1:11">
      <c r="A115" s="14">
        <v>111</v>
      </c>
      <c r="B115" s="14" t="s">
        <v>199</v>
      </c>
      <c r="C115" s="14" t="s">
        <v>252</v>
      </c>
      <c r="D115" s="14" t="s">
        <v>68</v>
      </c>
      <c r="E115" s="5" t="s">
        <v>45</v>
      </c>
      <c r="F115" s="5" t="s">
        <v>253</v>
      </c>
      <c r="G115" s="5" t="s">
        <v>69</v>
      </c>
      <c r="H115" s="28">
        <v>230000000</v>
      </c>
      <c r="I115" s="6">
        <v>0</v>
      </c>
      <c r="J115" s="14" t="s">
        <v>78</v>
      </c>
      <c r="K115" s="14" t="s">
        <v>53</v>
      </c>
    </row>
    <row r="116" spans="1:11">
      <c r="A116" s="17">
        <v>112</v>
      </c>
      <c r="B116" s="17" t="s">
        <v>199</v>
      </c>
      <c r="C116" s="17" t="s">
        <v>252</v>
      </c>
      <c r="D116" s="17" t="s">
        <v>68</v>
      </c>
      <c r="E116" s="8" t="s">
        <v>45</v>
      </c>
      <c r="F116" s="8" t="s">
        <v>254</v>
      </c>
      <c r="G116" s="8" t="s">
        <v>69</v>
      </c>
      <c r="H116" s="23">
        <v>50000000</v>
      </c>
      <c r="I116" s="9">
        <v>0</v>
      </c>
      <c r="J116" s="17" t="s">
        <v>78</v>
      </c>
      <c r="K116" s="17" t="s">
        <v>53</v>
      </c>
    </row>
    <row r="117" spans="1:11">
      <c r="A117" s="14">
        <v>113</v>
      </c>
      <c r="B117" s="14" t="s">
        <v>199</v>
      </c>
      <c r="C117" s="14" t="s">
        <v>252</v>
      </c>
      <c r="D117" s="14" t="s">
        <v>68</v>
      </c>
      <c r="E117" s="5" t="s">
        <v>49</v>
      </c>
      <c r="F117" s="5" t="s">
        <v>113</v>
      </c>
      <c r="G117" s="5" t="s">
        <v>69</v>
      </c>
      <c r="H117" s="28">
        <v>25000</v>
      </c>
      <c r="I117" s="6">
        <v>0</v>
      </c>
      <c r="J117" s="14" t="s">
        <v>114</v>
      </c>
      <c r="K117" s="14" t="s">
        <v>53</v>
      </c>
    </row>
    <row r="118" spans="1:11">
      <c r="A118" s="17">
        <v>114</v>
      </c>
      <c r="B118" s="17" t="s">
        <v>199</v>
      </c>
      <c r="C118" s="17" t="s">
        <v>252</v>
      </c>
      <c r="D118" s="17" t="s">
        <v>68</v>
      </c>
      <c r="E118" s="8" t="s">
        <v>39</v>
      </c>
      <c r="F118" s="8" t="s">
        <v>115</v>
      </c>
      <c r="G118" s="8" t="s">
        <v>69</v>
      </c>
      <c r="H118" s="9">
        <v>0</v>
      </c>
      <c r="I118" s="33">
        <v>129525.83</v>
      </c>
      <c r="J118" s="17" t="s">
        <v>116</v>
      </c>
      <c r="K118" s="17" t="s">
        <v>53</v>
      </c>
    </row>
    <row r="119" spans="1:11">
      <c r="A119" s="14">
        <v>115</v>
      </c>
      <c r="B119" s="14" t="s">
        <v>199</v>
      </c>
      <c r="C119" s="14" t="s">
        <v>252</v>
      </c>
      <c r="D119" s="14" t="s">
        <v>68</v>
      </c>
      <c r="E119" s="5" t="s">
        <v>51</v>
      </c>
      <c r="F119" s="5" t="s">
        <v>117</v>
      </c>
      <c r="G119" s="5" t="s">
        <v>69</v>
      </c>
      <c r="H119" s="28">
        <v>25905.17</v>
      </c>
      <c r="I119" s="6">
        <v>0</v>
      </c>
      <c r="J119" s="14" t="s">
        <v>118</v>
      </c>
      <c r="K119" s="14" t="s">
        <v>53</v>
      </c>
    </row>
    <row r="120" spans="1:11">
      <c r="A120" s="24">
        <v>116</v>
      </c>
      <c r="B120" s="24" t="s">
        <v>255</v>
      </c>
      <c r="C120" s="24" t="s">
        <v>256</v>
      </c>
      <c r="D120" s="24" t="s">
        <v>68</v>
      </c>
      <c r="E120" s="25" t="s">
        <v>29</v>
      </c>
      <c r="F120" s="25" t="s">
        <v>257</v>
      </c>
      <c r="G120" s="25" t="s">
        <v>258</v>
      </c>
      <c r="H120" s="26">
        <v>0</v>
      </c>
      <c r="I120" s="27">
        <v>1514788000</v>
      </c>
      <c r="J120" s="24" t="s">
        <v>78</v>
      </c>
      <c r="K120" s="24" t="s">
        <v>259</v>
      </c>
    </row>
    <row r="121" spans="1:11">
      <c r="A121" s="14">
        <v>117</v>
      </c>
      <c r="B121" s="14" t="s">
        <v>255</v>
      </c>
      <c r="C121" s="14" t="s">
        <v>256</v>
      </c>
      <c r="D121" s="14" t="s">
        <v>68</v>
      </c>
      <c r="E121" s="5" t="s">
        <v>40</v>
      </c>
      <c r="F121" s="5" t="s">
        <v>260</v>
      </c>
      <c r="G121" s="5" t="s">
        <v>69</v>
      </c>
      <c r="H121" s="28">
        <v>120000000</v>
      </c>
      <c r="I121" s="6">
        <v>0</v>
      </c>
      <c r="J121" s="14" t="s">
        <v>78</v>
      </c>
      <c r="K121" s="14" t="s">
        <v>53</v>
      </c>
    </row>
    <row r="122" spans="1:11">
      <c r="A122" s="29">
        <v>118</v>
      </c>
      <c r="B122" s="29" t="s">
        <v>255</v>
      </c>
      <c r="C122" s="29" t="s">
        <v>261</v>
      </c>
      <c r="D122" s="29" t="s">
        <v>68</v>
      </c>
      <c r="E122" s="30" t="s">
        <v>40</v>
      </c>
      <c r="F122" s="30" t="s">
        <v>262</v>
      </c>
      <c r="G122" s="30" t="s">
        <v>263</v>
      </c>
      <c r="H122" s="31">
        <v>1000000000</v>
      </c>
      <c r="I122" s="32">
        <v>0</v>
      </c>
      <c r="J122" s="29" t="s">
        <v>97</v>
      </c>
      <c r="K122" s="29" t="s">
        <v>53</v>
      </c>
    </row>
    <row r="123" spans="1:11">
      <c r="A123" s="14">
        <v>119</v>
      </c>
      <c r="B123" s="14" t="s">
        <v>255</v>
      </c>
      <c r="C123" s="14" t="s">
        <v>261</v>
      </c>
      <c r="D123" s="14" t="s">
        <v>68</v>
      </c>
      <c r="E123" s="5" t="s">
        <v>47</v>
      </c>
      <c r="F123" s="5" t="s">
        <v>264</v>
      </c>
      <c r="G123" s="5" t="s">
        <v>265</v>
      </c>
      <c r="H123" s="28">
        <v>21252500</v>
      </c>
      <c r="I123" s="6">
        <v>0</v>
      </c>
      <c r="J123" s="14" t="s">
        <v>74</v>
      </c>
      <c r="K123" s="14" t="s">
        <v>53</v>
      </c>
    </row>
    <row r="124" spans="1:11">
      <c r="A124" s="17">
        <v>120</v>
      </c>
      <c r="B124" s="17" t="s">
        <v>255</v>
      </c>
      <c r="C124" s="17" t="s">
        <v>261</v>
      </c>
      <c r="D124" s="17" t="s">
        <v>68</v>
      </c>
      <c r="E124" s="8" t="s">
        <v>47</v>
      </c>
      <c r="F124" s="8" t="s">
        <v>264</v>
      </c>
      <c r="G124" s="8" t="s">
        <v>266</v>
      </c>
      <c r="H124" s="23">
        <v>21252500</v>
      </c>
      <c r="I124" s="9">
        <v>0</v>
      </c>
      <c r="J124" s="17" t="s">
        <v>74</v>
      </c>
      <c r="K124" s="17" t="s">
        <v>53</v>
      </c>
    </row>
    <row r="125" spans="1:11">
      <c r="A125" s="14">
        <v>121</v>
      </c>
      <c r="B125" s="14" t="s">
        <v>255</v>
      </c>
      <c r="C125" s="14" t="s">
        <v>261</v>
      </c>
      <c r="D125" s="14" t="s">
        <v>68</v>
      </c>
      <c r="E125" s="5" t="s">
        <v>47</v>
      </c>
      <c r="F125" s="5" t="s">
        <v>267</v>
      </c>
      <c r="G125" s="5" t="s">
        <v>268</v>
      </c>
      <c r="H125" s="28">
        <v>15154500</v>
      </c>
      <c r="I125" s="6">
        <v>0</v>
      </c>
      <c r="J125" s="14" t="s">
        <v>74</v>
      </c>
      <c r="K125" s="14" t="s">
        <v>53</v>
      </c>
    </row>
    <row r="126" spans="1:11">
      <c r="A126" s="17">
        <v>122</v>
      </c>
      <c r="B126" s="17" t="s">
        <v>255</v>
      </c>
      <c r="C126" s="17" t="s">
        <v>261</v>
      </c>
      <c r="D126" s="17" t="s">
        <v>68</v>
      </c>
      <c r="E126" s="8" t="s">
        <v>47</v>
      </c>
      <c r="F126" s="8" t="s">
        <v>267</v>
      </c>
      <c r="G126" s="8" t="s">
        <v>269</v>
      </c>
      <c r="H126" s="23">
        <v>15154500</v>
      </c>
      <c r="I126" s="9">
        <v>0</v>
      </c>
      <c r="J126" s="17" t="s">
        <v>74</v>
      </c>
      <c r="K126" s="17" t="s">
        <v>53</v>
      </c>
    </row>
    <row r="127" spans="1:11">
      <c r="A127" s="14">
        <v>123</v>
      </c>
      <c r="B127" s="14" t="s">
        <v>255</v>
      </c>
      <c r="C127" s="14" t="s">
        <v>261</v>
      </c>
      <c r="D127" s="14" t="s">
        <v>68</v>
      </c>
      <c r="E127" s="5" t="s">
        <v>47</v>
      </c>
      <c r="F127" s="5" t="s">
        <v>267</v>
      </c>
      <c r="G127" s="5" t="s">
        <v>270</v>
      </c>
      <c r="H127" s="28">
        <v>15154500</v>
      </c>
      <c r="I127" s="6">
        <v>0</v>
      </c>
      <c r="J127" s="14" t="s">
        <v>74</v>
      </c>
      <c r="K127" s="14" t="s">
        <v>53</v>
      </c>
    </row>
    <row r="128" spans="1:11">
      <c r="A128" s="17">
        <v>124</v>
      </c>
      <c r="B128" s="17" t="s">
        <v>255</v>
      </c>
      <c r="C128" s="17" t="s">
        <v>261</v>
      </c>
      <c r="D128" s="17" t="s">
        <v>68</v>
      </c>
      <c r="E128" s="8" t="s">
        <v>43</v>
      </c>
      <c r="F128" s="8" t="s">
        <v>271</v>
      </c>
      <c r="G128" s="8" t="s">
        <v>272</v>
      </c>
      <c r="H128" s="23">
        <v>233988000</v>
      </c>
      <c r="I128" s="9">
        <v>0</v>
      </c>
      <c r="J128" s="17" t="s">
        <v>87</v>
      </c>
      <c r="K128" s="17" t="s">
        <v>53</v>
      </c>
    </row>
    <row r="129" spans="1:11">
      <c r="A129" s="14">
        <v>125</v>
      </c>
      <c r="B129" s="14" t="s">
        <v>255</v>
      </c>
      <c r="C129" s="14" t="s">
        <v>261</v>
      </c>
      <c r="D129" s="14" t="s">
        <v>68</v>
      </c>
      <c r="E129" s="5" t="s">
        <v>50</v>
      </c>
      <c r="F129" s="5" t="s">
        <v>69</v>
      </c>
      <c r="G129" s="5" t="s">
        <v>273</v>
      </c>
      <c r="H129" s="28">
        <v>2500</v>
      </c>
      <c r="I129" s="6">
        <v>0</v>
      </c>
      <c r="J129" s="14" t="s">
        <v>87</v>
      </c>
      <c r="K129" s="14" t="s">
        <v>53</v>
      </c>
    </row>
    <row r="130" spans="1:11">
      <c r="A130" s="17">
        <v>126</v>
      </c>
      <c r="B130" s="17" t="s">
        <v>255</v>
      </c>
      <c r="C130" s="17" t="s">
        <v>261</v>
      </c>
      <c r="D130" s="17" t="s">
        <v>68</v>
      </c>
      <c r="E130" s="8" t="s">
        <v>43</v>
      </c>
      <c r="F130" s="8" t="s">
        <v>271</v>
      </c>
      <c r="G130" s="8" t="s">
        <v>274</v>
      </c>
      <c r="H130" s="23">
        <v>13350000</v>
      </c>
      <c r="I130" s="9">
        <v>0</v>
      </c>
      <c r="J130" s="17" t="s">
        <v>87</v>
      </c>
      <c r="K130" s="17" t="s">
        <v>53</v>
      </c>
    </row>
    <row r="131" spans="1:11">
      <c r="A131" s="14">
        <v>127</v>
      </c>
      <c r="B131" s="14" t="s">
        <v>255</v>
      </c>
      <c r="C131" s="14" t="s">
        <v>261</v>
      </c>
      <c r="D131" s="14" t="s">
        <v>68</v>
      </c>
      <c r="E131" s="5" t="s">
        <v>50</v>
      </c>
      <c r="F131" s="5" t="s">
        <v>69</v>
      </c>
      <c r="G131" s="5" t="s">
        <v>275</v>
      </c>
      <c r="H131" s="28">
        <v>2500</v>
      </c>
      <c r="I131" s="6">
        <v>0</v>
      </c>
      <c r="J131" s="14" t="s">
        <v>87</v>
      </c>
      <c r="K131" s="14" t="s">
        <v>53</v>
      </c>
    </row>
    <row r="132" spans="1:11">
      <c r="A132" s="17">
        <v>128</v>
      </c>
      <c r="B132" s="17" t="s">
        <v>255</v>
      </c>
      <c r="C132" s="17" t="s">
        <v>261</v>
      </c>
      <c r="D132" s="17" t="s">
        <v>68</v>
      </c>
      <c r="E132" s="8" t="s">
        <v>45</v>
      </c>
      <c r="F132" s="8" t="s">
        <v>276</v>
      </c>
      <c r="G132" s="8" t="s">
        <v>69</v>
      </c>
      <c r="H132" s="23">
        <v>60000000</v>
      </c>
      <c r="I132" s="9">
        <v>0</v>
      </c>
      <c r="J132" s="17" t="s">
        <v>78</v>
      </c>
      <c r="K132" s="17" t="s">
        <v>53</v>
      </c>
    </row>
    <row r="133" spans="1:11">
      <c r="A133" s="14">
        <v>129</v>
      </c>
      <c r="B133" s="14" t="s">
        <v>255</v>
      </c>
      <c r="C133" s="14" t="s">
        <v>277</v>
      </c>
      <c r="D133" s="14" t="s">
        <v>68</v>
      </c>
      <c r="E133" s="5" t="s">
        <v>36</v>
      </c>
      <c r="F133" s="5" t="s">
        <v>278</v>
      </c>
      <c r="G133" s="5" t="s">
        <v>69</v>
      </c>
      <c r="H133" s="6">
        <v>0</v>
      </c>
      <c r="I133" s="22">
        <v>200000000</v>
      </c>
      <c r="J133" s="14" t="s">
        <v>78</v>
      </c>
      <c r="K133" s="14" t="s">
        <v>53</v>
      </c>
    </row>
    <row r="134" spans="1:11">
      <c r="A134" s="17">
        <v>130</v>
      </c>
      <c r="B134" s="17" t="s">
        <v>255</v>
      </c>
      <c r="C134" s="17" t="s">
        <v>277</v>
      </c>
      <c r="D134" s="17" t="s">
        <v>68</v>
      </c>
      <c r="E134" s="8" t="s">
        <v>43</v>
      </c>
      <c r="F134" s="8" t="s">
        <v>137</v>
      </c>
      <c r="G134" s="8" t="s">
        <v>279</v>
      </c>
      <c r="H134" s="9">
        <v>0</v>
      </c>
      <c r="I134" s="33">
        <v>64924000</v>
      </c>
      <c r="J134" s="17" t="s">
        <v>128</v>
      </c>
      <c r="K134" s="17" t="s">
        <v>53</v>
      </c>
    </row>
    <row r="135" spans="1:11">
      <c r="A135" s="14">
        <v>131</v>
      </c>
      <c r="B135" s="14" t="s">
        <v>255</v>
      </c>
      <c r="C135" s="14" t="s">
        <v>277</v>
      </c>
      <c r="D135" s="14" t="s">
        <v>68</v>
      </c>
      <c r="E135" s="5" t="s">
        <v>46</v>
      </c>
      <c r="F135" s="5" t="s">
        <v>280</v>
      </c>
      <c r="G135" s="5" t="s">
        <v>69</v>
      </c>
      <c r="H135" s="28">
        <v>264924000</v>
      </c>
      <c r="I135" s="6">
        <v>0</v>
      </c>
      <c r="J135" s="14" t="s">
        <v>78</v>
      </c>
      <c r="K135" s="14" t="s">
        <v>53</v>
      </c>
    </row>
    <row r="136" spans="1:11">
      <c r="A136" s="17">
        <v>132</v>
      </c>
      <c r="B136" s="17" t="s">
        <v>255</v>
      </c>
      <c r="C136" s="17" t="s">
        <v>277</v>
      </c>
      <c r="D136" s="17" t="s">
        <v>68</v>
      </c>
      <c r="E136" s="8" t="s">
        <v>32</v>
      </c>
      <c r="F136" s="8" t="s">
        <v>281</v>
      </c>
      <c r="G136" s="8" t="s">
        <v>282</v>
      </c>
      <c r="H136" s="9">
        <v>0</v>
      </c>
      <c r="I136" s="33">
        <v>270000000</v>
      </c>
      <c r="J136" s="17" t="s">
        <v>78</v>
      </c>
      <c r="K136" s="17" t="s">
        <v>53</v>
      </c>
    </row>
    <row r="137" spans="1:11">
      <c r="A137" s="14">
        <v>133</v>
      </c>
      <c r="B137" s="14" t="s">
        <v>255</v>
      </c>
      <c r="C137" s="14" t="s">
        <v>283</v>
      </c>
      <c r="D137" s="14" t="s">
        <v>68</v>
      </c>
      <c r="E137" s="5" t="s">
        <v>45</v>
      </c>
      <c r="F137" s="5" t="s">
        <v>284</v>
      </c>
      <c r="G137" s="5" t="s">
        <v>69</v>
      </c>
      <c r="H137" s="28">
        <v>5000000</v>
      </c>
      <c r="I137" s="6">
        <v>0</v>
      </c>
      <c r="J137" s="14" t="s">
        <v>78</v>
      </c>
      <c r="K137" s="14" t="s">
        <v>53</v>
      </c>
    </row>
    <row r="138" spans="1:11">
      <c r="A138" s="17">
        <v>134</v>
      </c>
      <c r="B138" s="17" t="s">
        <v>255</v>
      </c>
      <c r="C138" s="17" t="s">
        <v>283</v>
      </c>
      <c r="D138" s="17" t="s">
        <v>68</v>
      </c>
      <c r="E138" s="8" t="s">
        <v>40</v>
      </c>
      <c r="F138" s="8" t="s">
        <v>285</v>
      </c>
      <c r="G138" s="8" t="s">
        <v>69</v>
      </c>
      <c r="H138" s="23">
        <v>265000000</v>
      </c>
      <c r="I138" s="9">
        <v>0</v>
      </c>
      <c r="J138" s="17" t="s">
        <v>78</v>
      </c>
      <c r="K138" s="17" t="s">
        <v>53</v>
      </c>
    </row>
    <row r="139" spans="1:11">
      <c r="A139" s="24">
        <v>135</v>
      </c>
      <c r="B139" s="24" t="s">
        <v>255</v>
      </c>
      <c r="C139" s="24" t="s">
        <v>286</v>
      </c>
      <c r="D139" s="24" t="s">
        <v>68</v>
      </c>
      <c r="E139" s="25" t="s">
        <v>29</v>
      </c>
      <c r="F139" s="25" t="s">
        <v>108</v>
      </c>
      <c r="G139" s="25" t="s">
        <v>287</v>
      </c>
      <c r="H139" s="26">
        <v>0</v>
      </c>
      <c r="I139" s="27">
        <v>1480660000</v>
      </c>
      <c r="J139" s="24" t="s">
        <v>78</v>
      </c>
      <c r="K139" s="24" t="s">
        <v>53</v>
      </c>
    </row>
    <row r="140" spans="1:11">
      <c r="A140" s="29">
        <v>136</v>
      </c>
      <c r="B140" s="29" t="s">
        <v>255</v>
      </c>
      <c r="C140" s="29" t="s">
        <v>288</v>
      </c>
      <c r="D140" s="29" t="s">
        <v>68</v>
      </c>
      <c r="E140" s="30" t="s">
        <v>42</v>
      </c>
      <c r="F140" s="30" t="s">
        <v>289</v>
      </c>
      <c r="G140" s="30" t="s">
        <v>290</v>
      </c>
      <c r="H140" s="31">
        <v>1000000000</v>
      </c>
      <c r="I140" s="32">
        <v>0</v>
      </c>
      <c r="J140" s="29" t="s">
        <v>97</v>
      </c>
      <c r="K140" s="29" t="s">
        <v>53</v>
      </c>
    </row>
    <row r="141" spans="1:11">
      <c r="A141" s="14">
        <v>137</v>
      </c>
      <c r="B141" s="14" t="s">
        <v>255</v>
      </c>
      <c r="C141" s="14" t="s">
        <v>291</v>
      </c>
      <c r="D141" s="14" t="s">
        <v>68</v>
      </c>
      <c r="E141" s="5" t="s">
        <v>45</v>
      </c>
      <c r="F141" s="5" t="s">
        <v>292</v>
      </c>
      <c r="G141" s="5" t="s">
        <v>69</v>
      </c>
      <c r="H141" s="28">
        <v>252000000</v>
      </c>
      <c r="I141" s="6">
        <v>0</v>
      </c>
      <c r="J141" s="14" t="s">
        <v>78</v>
      </c>
      <c r="K141" s="14" t="s">
        <v>53</v>
      </c>
    </row>
    <row r="142" spans="1:11">
      <c r="A142" s="17">
        <v>138</v>
      </c>
      <c r="B142" s="17" t="s">
        <v>255</v>
      </c>
      <c r="C142" s="17" t="s">
        <v>293</v>
      </c>
      <c r="D142" s="17" t="s">
        <v>68</v>
      </c>
      <c r="E142" s="8" t="s">
        <v>43</v>
      </c>
      <c r="F142" s="8" t="s">
        <v>294</v>
      </c>
      <c r="G142" s="8" t="s">
        <v>295</v>
      </c>
      <c r="H142" s="23">
        <v>228660000</v>
      </c>
      <c r="I142" s="9">
        <v>0</v>
      </c>
      <c r="J142" s="17" t="s">
        <v>87</v>
      </c>
      <c r="K142" s="17" t="s">
        <v>53</v>
      </c>
    </row>
    <row r="143" spans="1:11">
      <c r="A143" s="14">
        <v>139</v>
      </c>
      <c r="B143" s="14" t="s">
        <v>255</v>
      </c>
      <c r="C143" s="14" t="s">
        <v>293</v>
      </c>
      <c r="D143" s="14" t="s">
        <v>68</v>
      </c>
      <c r="E143" s="5" t="s">
        <v>50</v>
      </c>
      <c r="F143" s="5" t="s">
        <v>69</v>
      </c>
      <c r="G143" s="5" t="s">
        <v>296</v>
      </c>
      <c r="H143" s="28">
        <v>2500</v>
      </c>
      <c r="I143" s="6">
        <v>0</v>
      </c>
      <c r="J143" s="14" t="s">
        <v>87</v>
      </c>
      <c r="K143" s="14" t="s">
        <v>53</v>
      </c>
    </row>
    <row r="144" spans="1:11">
      <c r="A144" s="17">
        <v>140</v>
      </c>
      <c r="B144" s="17" t="s">
        <v>255</v>
      </c>
      <c r="C144" s="17" t="s">
        <v>297</v>
      </c>
      <c r="D144" s="17" t="s">
        <v>68</v>
      </c>
      <c r="E144" s="8" t="s">
        <v>49</v>
      </c>
      <c r="F144" s="8" t="s">
        <v>113</v>
      </c>
      <c r="G144" s="8" t="s">
        <v>69</v>
      </c>
      <c r="H144" s="23">
        <v>25000</v>
      </c>
      <c r="I144" s="9">
        <v>0</v>
      </c>
      <c r="J144" s="17" t="s">
        <v>114</v>
      </c>
      <c r="K144" s="17" t="s">
        <v>53</v>
      </c>
    </row>
    <row r="145" spans="1:11">
      <c r="A145" s="14">
        <v>141</v>
      </c>
      <c r="B145" s="14" t="s">
        <v>255</v>
      </c>
      <c r="C145" s="14" t="s">
        <v>297</v>
      </c>
      <c r="D145" s="14" t="s">
        <v>68</v>
      </c>
      <c r="E145" s="5" t="s">
        <v>39</v>
      </c>
      <c r="F145" s="5" t="s">
        <v>115</v>
      </c>
      <c r="G145" s="5" t="s">
        <v>69</v>
      </c>
      <c r="H145" s="6">
        <v>0</v>
      </c>
      <c r="I145" s="22">
        <v>69602.64</v>
      </c>
      <c r="J145" s="14" t="s">
        <v>116</v>
      </c>
      <c r="K145" s="14" t="s">
        <v>53</v>
      </c>
    </row>
    <row r="146" spans="1:11">
      <c r="A146" s="17">
        <v>142</v>
      </c>
      <c r="B146" s="17" t="s">
        <v>255</v>
      </c>
      <c r="C146" s="17" t="s">
        <v>297</v>
      </c>
      <c r="D146" s="17" t="s">
        <v>68</v>
      </c>
      <c r="E146" s="8" t="s">
        <v>51</v>
      </c>
      <c r="F146" s="8" t="s">
        <v>117</v>
      </c>
      <c r="G146" s="8" t="s">
        <v>69</v>
      </c>
      <c r="H146" s="23">
        <v>13920.53</v>
      </c>
      <c r="I146" s="9">
        <v>0</v>
      </c>
      <c r="J146" s="17" t="s">
        <v>118</v>
      </c>
      <c r="K146" s="17" t="s">
        <v>53</v>
      </c>
    </row>
    <row r="147" spans="1:11">
      <c r="A147" s="14">
        <v>143</v>
      </c>
      <c r="B147" s="14" t="s">
        <v>298</v>
      </c>
      <c r="C147" s="14" t="s">
        <v>299</v>
      </c>
      <c r="D147" s="14" t="s">
        <v>68</v>
      </c>
      <c r="E147" s="5" t="s">
        <v>37</v>
      </c>
      <c r="F147" s="5" t="s">
        <v>300</v>
      </c>
      <c r="G147" s="5" t="s">
        <v>301</v>
      </c>
      <c r="H147" s="6">
        <v>0</v>
      </c>
      <c r="I147" s="22">
        <v>128998000</v>
      </c>
      <c r="J147" s="14" t="s">
        <v>128</v>
      </c>
      <c r="K147" s="14" t="s">
        <v>53</v>
      </c>
    </row>
    <row r="148" spans="1:11">
      <c r="A148" s="17">
        <v>144</v>
      </c>
      <c r="B148" s="17" t="s">
        <v>298</v>
      </c>
      <c r="C148" s="17" t="s">
        <v>299</v>
      </c>
      <c r="D148" s="17" t="s">
        <v>68</v>
      </c>
      <c r="E148" s="8" t="s">
        <v>47</v>
      </c>
      <c r="F148" s="8" t="s">
        <v>302</v>
      </c>
      <c r="G148" s="8" t="s">
        <v>303</v>
      </c>
      <c r="H148" s="23">
        <v>15154500</v>
      </c>
      <c r="I148" s="9">
        <v>0</v>
      </c>
      <c r="J148" s="17" t="s">
        <v>74</v>
      </c>
      <c r="K148" s="17" t="s">
        <v>53</v>
      </c>
    </row>
    <row r="149" spans="1:11">
      <c r="A149" s="14">
        <v>145</v>
      </c>
      <c r="B149" s="14" t="s">
        <v>298</v>
      </c>
      <c r="C149" s="14" t="s">
        <v>299</v>
      </c>
      <c r="D149" s="14" t="s">
        <v>68</v>
      </c>
      <c r="E149" s="5" t="s">
        <v>47</v>
      </c>
      <c r="F149" s="5" t="s">
        <v>302</v>
      </c>
      <c r="G149" s="5" t="s">
        <v>304</v>
      </c>
      <c r="H149" s="28">
        <v>15154500</v>
      </c>
      <c r="I149" s="6">
        <v>0</v>
      </c>
      <c r="J149" s="14" t="s">
        <v>74</v>
      </c>
      <c r="K149" s="14" t="s">
        <v>53</v>
      </c>
    </row>
    <row r="150" spans="1:11">
      <c r="A150" s="17">
        <v>146</v>
      </c>
      <c r="B150" s="17" t="s">
        <v>298</v>
      </c>
      <c r="C150" s="17" t="s">
        <v>299</v>
      </c>
      <c r="D150" s="17" t="s">
        <v>68</v>
      </c>
      <c r="E150" s="8" t="s">
        <v>47</v>
      </c>
      <c r="F150" s="8" t="s">
        <v>302</v>
      </c>
      <c r="G150" s="8" t="s">
        <v>305</v>
      </c>
      <c r="H150" s="23">
        <v>15154500</v>
      </c>
      <c r="I150" s="9">
        <v>0</v>
      </c>
      <c r="J150" s="17" t="s">
        <v>74</v>
      </c>
      <c r="K150" s="17" t="s">
        <v>53</v>
      </c>
    </row>
    <row r="151" spans="1:11">
      <c r="A151" s="14">
        <v>147</v>
      </c>
      <c r="B151" s="14" t="s">
        <v>298</v>
      </c>
      <c r="C151" s="14" t="s">
        <v>299</v>
      </c>
      <c r="D151" s="14" t="s">
        <v>68</v>
      </c>
      <c r="E151" s="5" t="s">
        <v>47</v>
      </c>
      <c r="F151" s="5" t="s">
        <v>306</v>
      </c>
      <c r="G151" s="5" t="s">
        <v>307</v>
      </c>
      <c r="H151" s="28">
        <v>21252500</v>
      </c>
      <c r="I151" s="6">
        <v>0</v>
      </c>
      <c r="J151" s="14" t="s">
        <v>74</v>
      </c>
      <c r="K151" s="14" t="s">
        <v>53</v>
      </c>
    </row>
    <row r="152" spans="1:11">
      <c r="A152" s="17">
        <v>148</v>
      </c>
      <c r="B152" s="17" t="s">
        <v>298</v>
      </c>
      <c r="C152" s="17" t="s">
        <v>299</v>
      </c>
      <c r="D152" s="17" t="s">
        <v>68</v>
      </c>
      <c r="E152" s="8" t="s">
        <v>47</v>
      </c>
      <c r="F152" s="8" t="s">
        <v>306</v>
      </c>
      <c r="G152" s="8" t="s">
        <v>308</v>
      </c>
      <c r="H152" s="23">
        <v>21252500</v>
      </c>
      <c r="I152" s="9">
        <v>0</v>
      </c>
      <c r="J152" s="17" t="s">
        <v>74</v>
      </c>
      <c r="K152" s="17" t="s">
        <v>53</v>
      </c>
    </row>
    <row r="153" spans="1:11">
      <c r="A153" s="14">
        <v>149</v>
      </c>
      <c r="B153" s="14" t="s">
        <v>298</v>
      </c>
      <c r="C153" s="14" t="s">
        <v>299</v>
      </c>
      <c r="D153" s="14" t="s">
        <v>68</v>
      </c>
      <c r="E153" s="5" t="s">
        <v>36</v>
      </c>
      <c r="F153" s="5" t="s">
        <v>278</v>
      </c>
      <c r="G153" s="5" t="s">
        <v>69</v>
      </c>
      <c r="H153" s="6">
        <v>0</v>
      </c>
      <c r="I153" s="22">
        <v>80000000</v>
      </c>
      <c r="J153" s="14" t="s">
        <v>78</v>
      </c>
      <c r="K153" s="14" t="s">
        <v>53</v>
      </c>
    </row>
    <row r="154" spans="1:11">
      <c r="A154" s="17">
        <v>150</v>
      </c>
      <c r="B154" s="17" t="s">
        <v>298</v>
      </c>
      <c r="C154" s="17" t="s">
        <v>299</v>
      </c>
      <c r="D154" s="17" t="s">
        <v>68</v>
      </c>
      <c r="E154" s="8" t="s">
        <v>46</v>
      </c>
      <c r="F154" s="8" t="s">
        <v>309</v>
      </c>
      <c r="G154" s="8" t="s">
        <v>69</v>
      </c>
      <c r="H154" s="23">
        <v>115830000</v>
      </c>
      <c r="I154" s="9">
        <v>0</v>
      </c>
      <c r="J154" s="17" t="s">
        <v>78</v>
      </c>
      <c r="K154" s="17" t="s">
        <v>53</v>
      </c>
    </row>
    <row r="155" spans="1:11">
      <c r="A155" s="14">
        <v>151</v>
      </c>
      <c r="B155" s="14" t="s">
        <v>298</v>
      </c>
      <c r="C155" s="14" t="s">
        <v>299</v>
      </c>
      <c r="D155" s="14" t="s">
        <v>68</v>
      </c>
      <c r="E155" s="5" t="s">
        <v>45</v>
      </c>
      <c r="F155" s="5" t="s">
        <v>310</v>
      </c>
      <c r="G155" s="5" t="s">
        <v>69</v>
      </c>
      <c r="H155" s="28">
        <v>5200000</v>
      </c>
      <c r="I155" s="6">
        <v>0</v>
      </c>
      <c r="J155" s="14" t="s">
        <v>78</v>
      </c>
      <c r="K155" s="14" t="s">
        <v>53</v>
      </c>
    </row>
    <row r="156" spans="1:11">
      <c r="A156" s="17">
        <v>152</v>
      </c>
      <c r="B156" s="17" t="s">
        <v>298</v>
      </c>
      <c r="C156" s="17" t="s">
        <v>311</v>
      </c>
      <c r="D156" s="17" t="s">
        <v>68</v>
      </c>
      <c r="E156" s="8" t="s">
        <v>37</v>
      </c>
      <c r="F156" s="8" t="s">
        <v>300</v>
      </c>
      <c r="G156" s="8" t="s">
        <v>312</v>
      </c>
      <c r="H156" s="9">
        <v>0</v>
      </c>
      <c r="I156" s="33">
        <v>128998000</v>
      </c>
      <c r="J156" s="17" t="s">
        <v>128</v>
      </c>
      <c r="K156" s="17" t="s">
        <v>53</v>
      </c>
    </row>
    <row r="157" spans="1:11">
      <c r="A157" s="14">
        <v>153</v>
      </c>
      <c r="B157" s="14" t="s">
        <v>298</v>
      </c>
      <c r="C157" s="14" t="s">
        <v>311</v>
      </c>
      <c r="D157" s="14" t="s">
        <v>68</v>
      </c>
      <c r="E157" s="5" t="s">
        <v>46</v>
      </c>
      <c r="F157" s="5" t="s">
        <v>313</v>
      </c>
      <c r="G157" s="5" t="s">
        <v>69</v>
      </c>
      <c r="H157" s="28">
        <v>115830000</v>
      </c>
      <c r="I157" s="6">
        <v>0</v>
      </c>
      <c r="J157" s="14" t="s">
        <v>78</v>
      </c>
      <c r="K157" s="14" t="s">
        <v>53</v>
      </c>
    </row>
    <row r="158" spans="1:11">
      <c r="A158" s="24">
        <v>154</v>
      </c>
      <c r="B158" s="24" t="s">
        <v>298</v>
      </c>
      <c r="C158" s="24" t="s">
        <v>311</v>
      </c>
      <c r="D158" s="24" t="s">
        <v>68</v>
      </c>
      <c r="E158" s="25" t="s">
        <v>29</v>
      </c>
      <c r="F158" s="25" t="s">
        <v>314</v>
      </c>
      <c r="G158" s="25" t="s">
        <v>315</v>
      </c>
      <c r="H158" s="26">
        <v>0</v>
      </c>
      <c r="I158" s="27">
        <v>1486348000</v>
      </c>
      <c r="J158" s="24" t="s">
        <v>78</v>
      </c>
      <c r="K158" s="24" t="s">
        <v>316</v>
      </c>
    </row>
    <row r="159" spans="1:11">
      <c r="A159" s="14">
        <v>155</v>
      </c>
      <c r="B159" s="14" t="s">
        <v>298</v>
      </c>
      <c r="C159" s="14" t="s">
        <v>311</v>
      </c>
      <c r="D159" s="14" t="s">
        <v>68</v>
      </c>
      <c r="E159" s="5" t="s">
        <v>45</v>
      </c>
      <c r="F159" s="5" t="s">
        <v>317</v>
      </c>
      <c r="G159" s="5" t="s">
        <v>69</v>
      </c>
      <c r="H159" s="28">
        <v>186000000</v>
      </c>
      <c r="I159" s="6">
        <v>0</v>
      </c>
      <c r="J159" s="14" t="s">
        <v>78</v>
      </c>
      <c r="K159" s="14" t="s">
        <v>53</v>
      </c>
    </row>
    <row r="160" spans="1:11">
      <c r="A160" s="29">
        <v>156</v>
      </c>
      <c r="B160" s="29" t="s">
        <v>298</v>
      </c>
      <c r="C160" s="29" t="s">
        <v>311</v>
      </c>
      <c r="D160" s="29" t="s">
        <v>68</v>
      </c>
      <c r="E160" s="30" t="s">
        <v>40</v>
      </c>
      <c r="F160" s="30" t="s">
        <v>318</v>
      </c>
      <c r="G160" s="30" t="s">
        <v>69</v>
      </c>
      <c r="H160" s="31">
        <v>700000000</v>
      </c>
      <c r="I160" s="32">
        <v>0</v>
      </c>
      <c r="J160" s="29" t="s">
        <v>78</v>
      </c>
      <c r="K160" s="29" t="s">
        <v>53</v>
      </c>
    </row>
    <row r="161" spans="1:11">
      <c r="A161" s="29">
        <v>157</v>
      </c>
      <c r="B161" s="29" t="s">
        <v>298</v>
      </c>
      <c r="C161" s="29" t="s">
        <v>311</v>
      </c>
      <c r="D161" s="29" t="s">
        <v>68</v>
      </c>
      <c r="E161" s="30" t="s">
        <v>40</v>
      </c>
      <c r="F161" s="30" t="s">
        <v>319</v>
      </c>
      <c r="G161" s="30" t="s">
        <v>69</v>
      </c>
      <c r="H161" s="31">
        <v>600000000</v>
      </c>
      <c r="I161" s="32">
        <v>0</v>
      </c>
      <c r="J161" s="29" t="s">
        <v>78</v>
      </c>
      <c r="K161" s="29" t="s">
        <v>53</v>
      </c>
    </row>
    <row r="162" spans="1:11">
      <c r="A162" s="17">
        <v>158</v>
      </c>
      <c r="B162" s="17" t="s">
        <v>298</v>
      </c>
      <c r="C162" s="17" t="s">
        <v>320</v>
      </c>
      <c r="D162" s="17" t="s">
        <v>68</v>
      </c>
      <c r="E162" s="8" t="s">
        <v>45</v>
      </c>
      <c r="F162" s="8" t="s">
        <v>321</v>
      </c>
      <c r="G162" s="8" t="s">
        <v>69</v>
      </c>
      <c r="H162" s="23">
        <v>13000000</v>
      </c>
      <c r="I162" s="9">
        <v>0</v>
      </c>
      <c r="J162" s="17" t="s">
        <v>78</v>
      </c>
      <c r="K162" s="17" t="s">
        <v>53</v>
      </c>
    </row>
    <row r="163" spans="1:11">
      <c r="A163" s="14">
        <v>159</v>
      </c>
      <c r="B163" s="14" t="s">
        <v>298</v>
      </c>
      <c r="C163" s="14" t="s">
        <v>322</v>
      </c>
      <c r="D163" s="14" t="s">
        <v>68</v>
      </c>
      <c r="E163" s="5" t="s">
        <v>34</v>
      </c>
      <c r="F163" s="5" t="s">
        <v>69</v>
      </c>
      <c r="G163" s="5" t="s">
        <v>323</v>
      </c>
      <c r="H163" s="6">
        <v>0</v>
      </c>
      <c r="I163" s="22">
        <v>222400000</v>
      </c>
      <c r="J163" s="14" t="s">
        <v>71</v>
      </c>
      <c r="K163" s="14" t="s">
        <v>53</v>
      </c>
    </row>
    <row r="164" spans="1:11">
      <c r="A164" s="17">
        <v>160</v>
      </c>
      <c r="B164" s="17" t="s">
        <v>298</v>
      </c>
      <c r="C164" s="17" t="s">
        <v>322</v>
      </c>
      <c r="D164" s="17" t="s">
        <v>68</v>
      </c>
      <c r="E164" s="8" t="s">
        <v>45</v>
      </c>
      <c r="F164" s="8" t="s">
        <v>324</v>
      </c>
      <c r="G164" s="8" t="s">
        <v>69</v>
      </c>
      <c r="H164" s="23">
        <v>22400000</v>
      </c>
      <c r="I164" s="9">
        <v>0</v>
      </c>
      <c r="J164" s="17" t="s">
        <v>78</v>
      </c>
      <c r="K164" s="17" t="s">
        <v>53</v>
      </c>
    </row>
    <row r="165" spans="1:11">
      <c r="A165" s="14">
        <v>161</v>
      </c>
      <c r="B165" s="14" t="s">
        <v>298</v>
      </c>
      <c r="C165" s="14" t="s">
        <v>322</v>
      </c>
      <c r="D165" s="14" t="s">
        <v>68</v>
      </c>
      <c r="E165" s="5" t="s">
        <v>40</v>
      </c>
      <c r="F165" s="5" t="s">
        <v>325</v>
      </c>
      <c r="G165" s="5" t="s">
        <v>69</v>
      </c>
      <c r="H165" s="28">
        <v>200000000</v>
      </c>
      <c r="I165" s="6">
        <v>0</v>
      </c>
      <c r="J165" s="14" t="s">
        <v>78</v>
      </c>
      <c r="K165" s="14" t="s">
        <v>53</v>
      </c>
    </row>
    <row r="166" spans="1:11">
      <c r="A166" s="17">
        <v>162</v>
      </c>
      <c r="B166" s="17" t="s">
        <v>298</v>
      </c>
      <c r="C166" s="17" t="s">
        <v>326</v>
      </c>
      <c r="D166" s="17" t="s">
        <v>68</v>
      </c>
      <c r="E166" s="8" t="s">
        <v>38</v>
      </c>
      <c r="F166" s="8" t="s">
        <v>196</v>
      </c>
      <c r="G166" s="8" t="s">
        <v>69</v>
      </c>
      <c r="H166" s="9">
        <v>0</v>
      </c>
      <c r="I166" s="33">
        <v>100000000</v>
      </c>
      <c r="J166" s="17" t="s">
        <v>197</v>
      </c>
      <c r="K166" s="17" t="s">
        <v>53</v>
      </c>
    </row>
    <row r="167" spans="1:11">
      <c r="A167" s="14">
        <v>163</v>
      </c>
      <c r="B167" s="14" t="s">
        <v>298</v>
      </c>
      <c r="C167" s="14" t="s">
        <v>326</v>
      </c>
      <c r="D167" s="14" t="s">
        <v>68</v>
      </c>
      <c r="E167" s="5" t="s">
        <v>38</v>
      </c>
      <c r="F167" s="5" t="s">
        <v>196</v>
      </c>
      <c r="G167" s="5" t="s">
        <v>69</v>
      </c>
      <c r="H167" s="6">
        <v>0</v>
      </c>
      <c r="I167" s="22">
        <v>15830000</v>
      </c>
      <c r="J167" s="14" t="s">
        <v>197</v>
      </c>
      <c r="K167" s="14" t="s">
        <v>53</v>
      </c>
    </row>
    <row r="168" spans="1:11">
      <c r="A168" s="17">
        <v>164</v>
      </c>
      <c r="B168" s="17" t="s">
        <v>298</v>
      </c>
      <c r="C168" s="17" t="s">
        <v>326</v>
      </c>
      <c r="D168" s="17" t="s">
        <v>68</v>
      </c>
      <c r="E168" s="8" t="s">
        <v>46</v>
      </c>
      <c r="F168" s="8" t="s">
        <v>327</v>
      </c>
      <c r="G168" s="8" t="s">
        <v>328</v>
      </c>
      <c r="H168" s="23">
        <v>115830000</v>
      </c>
      <c r="I168" s="9">
        <v>0</v>
      </c>
      <c r="J168" s="17" t="s">
        <v>78</v>
      </c>
      <c r="K168" s="17" t="s">
        <v>53</v>
      </c>
    </row>
    <row r="169" spans="1:11">
      <c r="A169" s="14">
        <v>165</v>
      </c>
      <c r="B169" s="14" t="s">
        <v>298</v>
      </c>
      <c r="C169" s="14" t="s">
        <v>329</v>
      </c>
      <c r="D169" s="14" t="s">
        <v>68</v>
      </c>
      <c r="E169" s="5" t="s">
        <v>38</v>
      </c>
      <c r="F169" s="5" t="s">
        <v>196</v>
      </c>
      <c r="G169" s="5" t="s">
        <v>69</v>
      </c>
      <c r="H169" s="6">
        <v>0</v>
      </c>
      <c r="I169" s="22">
        <v>100000000</v>
      </c>
      <c r="J169" s="14" t="s">
        <v>197</v>
      </c>
      <c r="K169" s="14" t="s">
        <v>53</v>
      </c>
    </row>
    <row r="170" spans="1:11">
      <c r="A170" s="17">
        <v>166</v>
      </c>
      <c r="B170" s="17" t="s">
        <v>298</v>
      </c>
      <c r="C170" s="17" t="s">
        <v>329</v>
      </c>
      <c r="D170" s="17" t="s">
        <v>68</v>
      </c>
      <c r="E170" s="8" t="s">
        <v>38</v>
      </c>
      <c r="F170" s="8" t="s">
        <v>196</v>
      </c>
      <c r="G170" s="8" t="s">
        <v>69</v>
      </c>
      <c r="H170" s="9">
        <v>0</v>
      </c>
      <c r="I170" s="33">
        <v>13000000</v>
      </c>
      <c r="J170" s="17" t="s">
        <v>197</v>
      </c>
      <c r="K170" s="17" t="s">
        <v>53</v>
      </c>
    </row>
    <row r="171" spans="1:11">
      <c r="A171" s="14">
        <v>167</v>
      </c>
      <c r="B171" s="14" t="s">
        <v>298</v>
      </c>
      <c r="C171" s="14" t="s">
        <v>329</v>
      </c>
      <c r="D171" s="14" t="s">
        <v>68</v>
      </c>
      <c r="E171" s="5" t="s">
        <v>46</v>
      </c>
      <c r="F171" s="5" t="s">
        <v>330</v>
      </c>
      <c r="G171" s="5" t="s">
        <v>69</v>
      </c>
      <c r="H171" s="28">
        <v>112860000</v>
      </c>
      <c r="I171" s="6">
        <v>0</v>
      </c>
      <c r="J171" s="14" t="s">
        <v>78</v>
      </c>
      <c r="K171" s="14" t="s">
        <v>53</v>
      </c>
    </row>
    <row r="172" spans="1:11">
      <c r="A172" s="24">
        <v>168</v>
      </c>
      <c r="B172" s="24" t="s">
        <v>298</v>
      </c>
      <c r="C172" s="24" t="s">
        <v>329</v>
      </c>
      <c r="D172" s="24" t="s">
        <v>68</v>
      </c>
      <c r="E172" s="25" t="s">
        <v>29</v>
      </c>
      <c r="F172" s="25" t="s">
        <v>76</v>
      </c>
      <c r="G172" s="25" t="s">
        <v>331</v>
      </c>
      <c r="H172" s="26">
        <v>0</v>
      </c>
      <c r="I172" s="27">
        <v>1486348000</v>
      </c>
      <c r="J172" s="24" t="s">
        <v>78</v>
      </c>
      <c r="K172" s="24" t="s">
        <v>53</v>
      </c>
    </row>
    <row r="173" spans="1:11">
      <c r="A173" s="29">
        <v>169</v>
      </c>
      <c r="B173" s="29" t="s">
        <v>298</v>
      </c>
      <c r="C173" s="29" t="s">
        <v>329</v>
      </c>
      <c r="D173" s="29" t="s">
        <v>68</v>
      </c>
      <c r="E173" s="30" t="s">
        <v>40</v>
      </c>
      <c r="F173" s="30" t="s">
        <v>332</v>
      </c>
      <c r="G173" s="30" t="s">
        <v>69</v>
      </c>
      <c r="H173" s="31">
        <v>1000000000</v>
      </c>
      <c r="I173" s="32">
        <v>0</v>
      </c>
      <c r="J173" s="29" t="s">
        <v>78</v>
      </c>
      <c r="K173" s="29" t="s">
        <v>53</v>
      </c>
    </row>
    <row r="174" spans="1:11">
      <c r="A174" s="17">
        <v>170</v>
      </c>
      <c r="B174" s="17" t="s">
        <v>298</v>
      </c>
      <c r="C174" s="17" t="s">
        <v>329</v>
      </c>
      <c r="D174" s="17" t="s">
        <v>68</v>
      </c>
      <c r="E174" s="8" t="s">
        <v>45</v>
      </c>
      <c r="F174" s="8" t="s">
        <v>333</v>
      </c>
      <c r="G174" s="8" t="s">
        <v>69</v>
      </c>
      <c r="H174" s="23">
        <v>77468000</v>
      </c>
      <c r="I174" s="9">
        <v>0</v>
      </c>
      <c r="J174" s="17" t="s">
        <v>78</v>
      </c>
      <c r="K174" s="17" t="s">
        <v>53</v>
      </c>
    </row>
    <row r="175" spans="1:11">
      <c r="A175" s="14">
        <v>171</v>
      </c>
      <c r="B175" s="14" t="s">
        <v>298</v>
      </c>
      <c r="C175" s="14" t="s">
        <v>334</v>
      </c>
      <c r="D175" s="14" t="s">
        <v>68</v>
      </c>
      <c r="E175" s="5" t="s">
        <v>45</v>
      </c>
      <c r="F175" s="5" t="s">
        <v>335</v>
      </c>
      <c r="G175" s="5" t="s">
        <v>69</v>
      </c>
      <c r="H175" s="28">
        <v>163332000</v>
      </c>
      <c r="I175" s="6">
        <v>0</v>
      </c>
      <c r="J175" s="14" t="s">
        <v>78</v>
      </c>
      <c r="K175" s="14" t="s">
        <v>53</v>
      </c>
    </row>
    <row r="176" spans="1:11">
      <c r="A176" s="17">
        <v>172</v>
      </c>
      <c r="B176" s="17" t="s">
        <v>298</v>
      </c>
      <c r="C176" s="17" t="s">
        <v>334</v>
      </c>
      <c r="D176" s="17" t="s">
        <v>68</v>
      </c>
      <c r="E176" s="8" t="s">
        <v>43</v>
      </c>
      <c r="F176" s="8" t="s">
        <v>336</v>
      </c>
      <c r="G176" s="8" t="s">
        <v>337</v>
      </c>
      <c r="H176" s="23">
        <v>229548000</v>
      </c>
      <c r="I176" s="9">
        <v>0</v>
      </c>
      <c r="J176" s="17" t="s">
        <v>87</v>
      </c>
      <c r="K176" s="17" t="s">
        <v>53</v>
      </c>
    </row>
    <row r="177" spans="1:11">
      <c r="A177" s="14">
        <v>173</v>
      </c>
      <c r="B177" s="14" t="s">
        <v>298</v>
      </c>
      <c r="C177" s="14" t="s">
        <v>334</v>
      </c>
      <c r="D177" s="14" t="s">
        <v>68</v>
      </c>
      <c r="E177" s="5" t="s">
        <v>50</v>
      </c>
      <c r="F177" s="5" t="s">
        <v>69</v>
      </c>
      <c r="G177" s="5" t="s">
        <v>338</v>
      </c>
      <c r="H177" s="28">
        <v>2500</v>
      </c>
      <c r="I177" s="6">
        <v>0</v>
      </c>
      <c r="J177" s="14" t="s">
        <v>87</v>
      </c>
      <c r="K177" s="14" t="s">
        <v>53</v>
      </c>
    </row>
    <row r="178" spans="1:11">
      <c r="A178" s="24">
        <v>174</v>
      </c>
      <c r="B178" s="24" t="s">
        <v>298</v>
      </c>
      <c r="C178" s="24" t="s">
        <v>339</v>
      </c>
      <c r="D178" s="24" t="s">
        <v>68</v>
      </c>
      <c r="E178" s="25" t="s">
        <v>29</v>
      </c>
      <c r="F178" s="25" t="s">
        <v>108</v>
      </c>
      <c r="G178" s="25" t="s">
        <v>340</v>
      </c>
      <c r="H178" s="26">
        <v>0</v>
      </c>
      <c r="I178" s="27">
        <v>650129200</v>
      </c>
      <c r="J178" s="24" t="s">
        <v>78</v>
      </c>
      <c r="K178" s="24" t="s">
        <v>53</v>
      </c>
    </row>
    <row r="179" spans="1:11">
      <c r="A179" s="14">
        <v>175</v>
      </c>
      <c r="B179" s="14" t="s">
        <v>298</v>
      </c>
      <c r="C179" s="14" t="s">
        <v>341</v>
      </c>
      <c r="D179" s="14" t="s">
        <v>68</v>
      </c>
      <c r="E179" s="5" t="s">
        <v>45</v>
      </c>
      <c r="F179" s="5" t="s">
        <v>342</v>
      </c>
      <c r="G179" s="5" t="s">
        <v>69</v>
      </c>
      <c r="H179" s="28">
        <v>51000000</v>
      </c>
      <c r="I179" s="6">
        <v>0</v>
      </c>
      <c r="J179" s="14" t="s">
        <v>78</v>
      </c>
      <c r="K179" s="14" t="s">
        <v>53</v>
      </c>
    </row>
    <row r="180" spans="1:11">
      <c r="A180" s="17">
        <v>176</v>
      </c>
      <c r="B180" s="17" t="s">
        <v>298</v>
      </c>
      <c r="C180" s="17" t="s">
        <v>341</v>
      </c>
      <c r="D180" s="17" t="s">
        <v>68</v>
      </c>
      <c r="E180" s="8" t="s">
        <v>43</v>
      </c>
      <c r="F180" s="8" t="s">
        <v>343</v>
      </c>
      <c r="G180" s="8" t="s">
        <v>344</v>
      </c>
      <c r="H180" s="23">
        <v>91819200</v>
      </c>
      <c r="I180" s="9">
        <v>0</v>
      </c>
      <c r="J180" s="17" t="s">
        <v>87</v>
      </c>
      <c r="K180" s="17" t="s">
        <v>53</v>
      </c>
    </row>
    <row r="181" spans="1:11">
      <c r="A181" s="14">
        <v>177</v>
      </c>
      <c r="B181" s="14" t="s">
        <v>298</v>
      </c>
      <c r="C181" s="14" t="s">
        <v>341</v>
      </c>
      <c r="D181" s="14" t="s">
        <v>68</v>
      </c>
      <c r="E181" s="5" t="s">
        <v>50</v>
      </c>
      <c r="F181" s="5" t="s">
        <v>69</v>
      </c>
      <c r="G181" s="5" t="s">
        <v>345</v>
      </c>
      <c r="H181" s="28">
        <v>2500</v>
      </c>
      <c r="I181" s="6">
        <v>0</v>
      </c>
      <c r="J181" s="14" t="s">
        <v>87</v>
      </c>
      <c r="K181" s="14" t="s">
        <v>53</v>
      </c>
    </row>
    <row r="182" spans="1:11">
      <c r="A182" s="17">
        <v>178</v>
      </c>
      <c r="B182" s="17" t="s">
        <v>298</v>
      </c>
      <c r="C182" s="17" t="s">
        <v>341</v>
      </c>
      <c r="D182" s="17" t="s">
        <v>68</v>
      </c>
      <c r="E182" s="8" t="s">
        <v>43</v>
      </c>
      <c r="F182" s="8" t="s">
        <v>343</v>
      </c>
      <c r="G182" s="8" t="s">
        <v>346</v>
      </c>
      <c r="H182" s="23">
        <v>5610000</v>
      </c>
      <c r="I182" s="9">
        <v>0</v>
      </c>
      <c r="J182" s="17" t="s">
        <v>87</v>
      </c>
      <c r="K182" s="17" t="s">
        <v>53</v>
      </c>
    </row>
    <row r="183" spans="1:11">
      <c r="A183" s="14">
        <v>179</v>
      </c>
      <c r="B183" s="14" t="s">
        <v>298</v>
      </c>
      <c r="C183" s="14" t="s">
        <v>341</v>
      </c>
      <c r="D183" s="14" t="s">
        <v>68</v>
      </c>
      <c r="E183" s="5" t="s">
        <v>50</v>
      </c>
      <c r="F183" s="5" t="s">
        <v>69</v>
      </c>
      <c r="G183" s="5" t="s">
        <v>347</v>
      </c>
      <c r="H183" s="28">
        <v>2500</v>
      </c>
      <c r="I183" s="6">
        <v>0</v>
      </c>
      <c r="J183" s="14" t="s">
        <v>87</v>
      </c>
      <c r="K183" s="14" t="s">
        <v>53</v>
      </c>
    </row>
    <row r="184" spans="1:11">
      <c r="A184" s="17">
        <v>180</v>
      </c>
      <c r="B184" s="17" t="s">
        <v>298</v>
      </c>
      <c r="C184" s="17" t="s">
        <v>341</v>
      </c>
      <c r="D184" s="17" t="s">
        <v>68</v>
      </c>
      <c r="E184" s="8" t="s">
        <v>40</v>
      </c>
      <c r="F184" s="8" t="s">
        <v>348</v>
      </c>
      <c r="G184" s="8" t="s">
        <v>69</v>
      </c>
      <c r="H184" s="23">
        <v>200000000</v>
      </c>
      <c r="I184" s="9">
        <v>0</v>
      </c>
      <c r="J184" s="17" t="s">
        <v>78</v>
      </c>
      <c r="K184" s="17" t="s">
        <v>53</v>
      </c>
    </row>
    <row r="185" spans="1:11">
      <c r="A185" s="14">
        <v>181</v>
      </c>
      <c r="B185" s="14" t="s">
        <v>298</v>
      </c>
      <c r="C185" s="14" t="s">
        <v>349</v>
      </c>
      <c r="D185" s="14" t="s">
        <v>68</v>
      </c>
      <c r="E185" s="5" t="s">
        <v>45</v>
      </c>
      <c r="F185" s="5" t="s">
        <v>350</v>
      </c>
      <c r="G185" s="5" t="s">
        <v>69</v>
      </c>
      <c r="H185" s="28">
        <v>100000000</v>
      </c>
      <c r="I185" s="6">
        <v>0</v>
      </c>
      <c r="J185" s="14" t="s">
        <v>78</v>
      </c>
      <c r="K185" s="14" t="s">
        <v>53</v>
      </c>
    </row>
    <row r="186" spans="1:11">
      <c r="A186" s="17">
        <v>182</v>
      </c>
      <c r="B186" s="17" t="s">
        <v>298</v>
      </c>
      <c r="C186" s="17" t="s">
        <v>351</v>
      </c>
      <c r="D186" s="17" t="s">
        <v>68</v>
      </c>
      <c r="E186" s="8" t="s">
        <v>43</v>
      </c>
      <c r="F186" s="8" t="s">
        <v>352</v>
      </c>
      <c r="G186" s="8" t="s">
        <v>353</v>
      </c>
      <c r="H186" s="23">
        <v>100000000</v>
      </c>
      <c r="I186" s="9">
        <v>0</v>
      </c>
      <c r="J186" s="17" t="s">
        <v>87</v>
      </c>
      <c r="K186" s="17" t="s">
        <v>53</v>
      </c>
    </row>
    <row r="187" spans="1:11">
      <c r="A187" s="14">
        <v>183</v>
      </c>
      <c r="B187" s="14" t="s">
        <v>298</v>
      </c>
      <c r="C187" s="14" t="s">
        <v>351</v>
      </c>
      <c r="D187" s="14" t="s">
        <v>68</v>
      </c>
      <c r="E187" s="5" t="s">
        <v>50</v>
      </c>
      <c r="F187" s="5" t="s">
        <v>69</v>
      </c>
      <c r="G187" s="5" t="s">
        <v>354</v>
      </c>
      <c r="H187" s="28">
        <v>2500</v>
      </c>
      <c r="I187" s="6">
        <v>0</v>
      </c>
      <c r="J187" s="14" t="s">
        <v>87</v>
      </c>
      <c r="K187" s="14" t="s">
        <v>53</v>
      </c>
    </row>
    <row r="188" spans="1:11">
      <c r="A188" s="17">
        <v>184</v>
      </c>
      <c r="B188" s="17" t="s">
        <v>298</v>
      </c>
      <c r="C188" s="17" t="s">
        <v>351</v>
      </c>
      <c r="D188" s="17" t="s">
        <v>68</v>
      </c>
      <c r="E188" s="8" t="s">
        <v>43</v>
      </c>
      <c r="F188" s="8" t="s">
        <v>352</v>
      </c>
      <c r="G188" s="8" t="s">
        <v>355</v>
      </c>
      <c r="H188" s="23">
        <v>100000000</v>
      </c>
      <c r="I188" s="9">
        <v>0</v>
      </c>
      <c r="J188" s="17" t="s">
        <v>87</v>
      </c>
      <c r="K188" s="17" t="s">
        <v>53</v>
      </c>
    </row>
    <row r="189" spans="1:11">
      <c r="A189" s="14">
        <v>185</v>
      </c>
      <c r="B189" s="14" t="s">
        <v>298</v>
      </c>
      <c r="C189" s="14" t="s">
        <v>351</v>
      </c>
      <c r="D189" s="14" t="s">
        <v>68</v>
      </c>
      <c r="E189" s="5" t="s">
        <v>50</v>
      </c>
      <c r="F189" s="5" t="s">
        <v>69</v>
      </c>
      <c r="G189" s="5" t="s">
        <v>356</v>
      </c>
      <c r="H189" s="28">
        <v>2500</v>
      </c>
      <c r="I189" s="6">
        <v>0</v>
      </c>
      <c r="J189" s="14" t="s">
        <v>87</v>
      </c>
      <c r="K189" s="14" t="s">
        <v>53</v>
      </c>
    </row>
    <row r="190" spans="1:11">
      <c r="A190" s="17">
        <v>186</v>
      </c>
      <c r="B190" s="17" t="s">
        <v>298</v>
      </c>
      <c r="C190" s="17" t="s">
        <v>351</v>
      </c>
      <c r="D190" s="17" t="s">
        <v>68</v>
      </c>
      <c r="E190" s="8" t="s">
        <v>43</v>
      </c>
      <c r="F190" s="8" t="s">
        <v>352</v>
      </c>
      <c r="G190" s="8" t="s">
        <v>357</v>
      </c>
      <c r="H190" s="23">
        <v>20000000</v>
      </c>
      <c r="I190" s="9">
        <v>0</v>
      </c>
      <c r="J190" s="17" t="s">
        <v>87</v>
      </c>
      <c r="K190" s="17" t="s">
        <v>53</v>
      </c>
    </row>
    <row r="191" spans="1:11">
      <c r="A191" s="14">
        <v>187</v>
      </c>
      <c r="B191" s="14" t="s">
        <v>298</v>
      </c>
      <c r="C191" s="14" t="s">
        <v>351</v>
      </c>
      <c r="D191" s="14" t="s">
        <v>68</v>
      </c>
      <c r="E191" s="5" t="s">
        <v>50</v>
      </c>
      <c r="F191" s="5" t="s">
        <v>69</v>
      </c>
      <c r="G191" s="5" t="s">
        <v>358</v>
      </c>
      <c r="H191" s="28">
        <v>2500</v>
      </c>
      <c r="I191" s="6">
        <v>0</v>
      </c>
      <c r="J191" s="14" t="s">
        <v>87</v>
      </c>
      <c r="K191" s="14" t="s">
        <v>53</v>
      </c>
    </row>
    <row r="192" spans="1:11">
      <c r="A192" s="17">
        <v>188</v>
      </c>
      <c r="B192" s="17" t="s">
        <v>298</v>
      </c>
      <c r="C192" s="17" t="s">
        <v>351</v>
      </c>
      <c r="D192" s="17" t="s">
        <v>68</v>
      </c>
      <c r="E192" s="8" t="s">
        <v>31</v>
      </c>
      <c r="F192" s="8" t="s">
        <v>359</v>
      </c>
      <c r="G192" s="8" t="s">
        <v>360</v>
      </c>
      <c r="H192" s="9">
        <v>0</v>
      </c>
      <c r="I192" s="33">
        <v>265660060</v>
      </c>
      <c r="J192" s="17" t="s">
        <v>78</v>
      </c>
      <c r="K192" s="17" t="s">
        <v>53</v>
      </c>
    </row>
    <row r="193" spans="1:11">
      <c r="A193" s="14">
        <v>189</v>
      </c>
      <c r="B193" s="14" t="s">
        <v>298</v>
      </c>
      <c r="C193" s="14" t="s">
        <v>361</v>
      </c>
      <c r="D193" s="14" t="s">
        <v>68</v>
      </c>
      <c r="E193" s="5" t="s">
        <v>49</v>
      </c>
      <c r="F193" s="5" t="s">
        <v>113</v>
      </c>
      <c r="G193" s="5" t="s">
        <v>69</v>
      </c>
      <c r="H193" s="28">
        <v>25000</v>
      </c>
      <c r="I193" s="6">
        <v>0</v>
      </c>
      <c r="J193" s="14" t="s">
        <v>114</v>
      </c>
      <c r="K193" s="14" t="s">
        <v>53</v>
      </c>
    </row>
    <row r="194" spans="1:11">
      <c r="A194" s="17">
        <v>190</v>
      </c>
      <c r="B194" s="17" t="s">
        <v>298</v>
      </c>
      <c r="C194" s="17" t="s">
        <v>361</v>
      </c>
      <c r="D194" s="17" t="s">
        <v>68</v>
      </c>
      <c r="E194" s="8" t="s">
        <v>39</v>
      </c>
      <c r="F194" s="8" t="s">
        <v>115</v>
      </c>
      <c r="G194" s="8" t="s">
        <v>69</v>
      </c>
      <c r="H194" s="9">
        <v>0</v>
      </c>
      <c r="I194" s="33">
        <v>24912.25</v>
      </c>
      <c r="J194" s="17" t="s">
        <v>116</v>
      </c>
      <c r="K194" s="17" t="s">
        <v>53</v>
      </c>
    </row>
    <row r="195" spans="1:11">
      <c r="A195" s="14">
        <v>191</v>
      </c>
      <c r="B195" s="14" t="s">
        <v>298</v>
      </c>
      <c r="C195" s="14" t="s">
        <v>361</v>
      </c>
      <c r="D195" s="14" t="s">
        <v>68</v>
      </c>
      <c r="E195" s="5" t="s">
        <v>51</v>
      </c>
      <c r="F195" s="5" t="s">
        <v>117</v>
      </c>
      <c r="G195" s="5" t="s">
        <v>69</v>
      </c>
      <c r="H195" s="28">
        <v>4982.45</v>
      </c>
      <c r="I195" s="6">
        <v>0</v>
      </c>
      <c r="J195" s="14" t="s">
        <v>118</v>
      </c>
      <c r="K195" s="14" t="s">
        <v>53</v>
      </c>
    </row>
    <row r="196" spans="1:11">
      <c r="A196" s="17">
        <v>192</v>
      </c>
      <c r="B196" s="17" t="s">
        <v>362</v>
      </c>
      <c r="C196" s="17" t="s">
        <v>363</v>
      </c>
      <c r="D196" s="17" t="s">
        <v>68</v>
      </c>
      <c r="E196" s="8" t="s">
        <v>40</v>
      </c>
      <c r="F196" s="8" t="s">
        <v>364</v>
      </c>
      <c r="G196" s="8" t="s">
        <v>69</v>
      </c>
      <c r="H196" s="23">
        <v>265660060</v>
      </c>
      <c r="I196" s="9">
        <v>0</v>
      </c>
      <c r="J196" s="17" t="s">
        <v>78</v>
      </c>
      <c r="K196" s="17" t="s">
        <v>53</v>
      </c>
    </row>
    <row r="197" spans="1:11">
      <c r="A197" s="14">
        <v>193</v>
      </c>
      <c r="B197" s="14" t="s">
        <v>362</v>
      </c>
      <c r="C197" s="14" t="s">
        <v>365</v>
      </c>
      <c r="D197" s="14" t="s">
        <v>68</v>
      </c>
      <c r="E197" s="5" t="s">
        <v>29</v>
      </c>
      <c r="F197" s="5" t="s">
        <v>366</v>
      </c>
      <c r="G197" s="5" t="s">
        <v>367</v>
      </c>
      <c r="H197" s="6">
        <v>0</v>
      </c>
      <c r="I197" s="22">
        <v>335200950</v>
      </c>
      <c r="J197" s="14" t="s">
        <v>78</v>
      </c>
      <c r="K197" s="14" t="s">
        <v>368</v>
      </c>
    </row>
    <row r="198" spans="1:11">
      <c r="A198" s="17">
        <v>194</v>
      </c>
      <c r="B198" s="17" t="s">
        <v>362</v>
      </c>
      <c r="C198" s="17" t="s">
        <v>365</v>
      </c>
      <c r="D198" s="17" t="s">
        <v>68</v>
      </c>
      <c r="E198" s="8" t="s">
        <v>45</v>
      </c>
      <c r="F198" s="8" t="s">
        <v>369</v>
      </c>
      <c r="G198" s="8" t="s">
        <v>69</v>
      </c>
      <c r="H198" s="23">
        <v>335200950</v>
      </c>
      <c r="I198" s="9">
        <v>0</v>
      </c>
      <c r="J198" s="17" t="s">
        <v>78</v>
      </c>
      <c r="K198" s="17" t="s">
        <v>53</v>
      </c>
    </row>
    <row r="199" spans="1:11">
      <c r="A199" s="14">
        <v>195</v>
      </c>
      <c r="B199" s="14" t="s">
        <v>362</v>
      </c>
      <c r="C199" s="14" t="s">
        <v>370</v>
      </c>
      <c r="D199" s="14" t="s">
        <v>68</v>
      </c>
      <c r="E199" s="5" t="s">
        <v>31</v>
      </c>
      <c r="F199" s="5" t="s">
        <v>359</v>
      </c>
      <c r="G199" s="5" t="s">
        <v>360</v>
      </c>
      <c r="H199" s="6">
        <v>0</v>
      </c>
      <c r="I199" s="22">
        <v>265660060</v>
      </c>
      <c r="J199" s="14" t="s">
        <v>78</v>
      </c>
      <c r="K199" s="14" t="s">
        <v>53</v>
      </c>
    </row>
    <row r="200" spans="1:11">
      <c r="A200" s="17">
        <v>196</v>
      </c>
      <c r="B200" s="17" t="s">
        <v>362</v>
      </c>
      <c r="C200" s="17" t="s">
        <v>370</v>
      </c>
      <c r="D200" s="17" t="s">
        <v>68</v>
      </c>
      <c r="E200" s="8" t="s">
        <v>40</v>
      </c>
      <c r="F200" s="8" t="s">
        <v>371</v>
      </c>
      <c r="G200" s="8" t="s">
        <v>69</v>
      </c>
      <c r="H200" s="23">
        <v>265660060</v>
      </c>
      <c r="I200" s="9">
        <v>0</v>
      </c>
      <c r="J200" s="17" t="s">
        <v>78</v>
      </c>
      <c r="K200" s="17" t="s">
        <v>53</v>
      </c>
    </row>
    <row r="201" spans="1:11">
      <c r="A201" s="24">
        <v>197</v>
      </c>
      <c r="B201" s="24" t="s">
        <v>362</v>
      </c>
      <c r="C201" s="24" t="s">
        <v>372</v>
      </c>
      <c r="D201" s="24" t="s">
        <v>68</v>
      </c>
      <c r="E201" s="25" t="s">
        <v>29</v>
      </c>
      <c r="F201" s="25" t="s">
        <v>108</v>
      </c>
      <c r="G201" s="25" t="s">
        <v>373</v>
      </c>
      <c r="H201" s="26">
        <v>0</v>
      </c>
      <c r="I201" s="27">
        <v>953555050</v>
      </c>
      <c r="J201" s="24" t="s">
        <v>78</v>
      </c>
      <c r="K201" s="24" t="s">
        <v>53</v>
      </c>
    </row>
    <row r="202" spans="1:11">
      <c r="A202" s="17">
        <v>198</v>
      </c>
      <c r="B202" s="17" t="s">
        <v>362</v>
      </c>
      <c r="C202" s="17" t="s">
        <v>372</v>
      </c>
      <c r="D202" s="17" t="s">
        <v>68</v>
      </c>
      <c r="E202" s="8" t="s">
        <v>47</v>
      </c>
      <c r="F202" s="8" t="s">
        <v>374</v>
      </c>
      <c r="G202" s="8" t="s">
        <v>375</v>
      </c>
      <c r="H202" s="23">
        <v>21252500</v>
      </c>
      <c r="I202" s="9">
        <v>0</v>
      </c>
      <c r="J202" s="17" t="s">
        <v>74</v>
      </c>
      <c r="K202" s="17" t="s">
        <v>53</v>
      </c>
    </row>
    <row r="203" spans="1:11">
      <c r="A203" s="14">
        <v>199</v>
      </c>
      <c r="B203" s="14" t="s">
        <v>362</v>
      </c>
      <c r="C203" s="14" t="s">
        <v>372</v>
      </c>
      <c r="D203" s="14" t="s">
        <v>68</v>
      </c>
      <c r="E203" s="5" t="s">
        <v>47</v>
      </c>
      <c r="F203" s="5" t="s">
        <v>374</v>
      </c>
      <c r="G203" s="5" t="s">
        <v>376</v>
      </c>
      <c r="H203" s="28">
        <v>21252500</v>
      </c>
      <c r="I203" s="6">
        <v>0</v>
      </c>
      <c r="J203" s="14" t="s">
        <v>74</v>
      </c>
      <c r="K203" s="14" t="s">
        <v>53</v>
      </c>
    </row>
    <row r="204" spans="1:11">
      <c r="A204" s="29">
        <v>200</v>
      </c>
      <c r="B204" s="29" t="s">
        <v>362</v>
      </c>
      <c r="C204" s="29" t="s">
        <v>372</v>
      </c>
      <c r="D204" s="29" t="s">
        <v>68</v>
      </c>
      <c r="E204" s="30" t="s">
        <v>40</v>
      </c>
      <c r="F204" s="30" t="s">
        <v>377</v>
      </c>
      <c r="G204" s="30" t="s">
        <v>69</v>
      </c>
      <c r="H204" s="31">
        <v>706000000</v>
      </c>
      <c r="I204" s="32">
        <v>0</v>
      </c>
      <c r="J204" s="29" t="s">
        <v>78</v>
      </c>
      <c r="K204" s="29" t="s">
        <v>53</v>
      </c>
    </row>
    <row r="205" spans="1:11">
      <c r="A205" s="14">
        <v>201</v>
      </c>
      <c r="B205" s="14" t="s">
        <v>362</v>
      </c>
      <c r="C205" s="14" t="s">
        <v>372</v>
      </c>
      <c r="D205" s="14" t="s">
        <v>68</v>
      </c>
      <c r="E205" s="5" t="s">
        <v>38</v>
      </c>
      <c r="F205" s="5" t="s">
        <v>196</v>
      </c>
      <c r="G205" s="5" t="s">
        <v>69</v>
      </c>
      <c r="H205" s="6">
        <v>0</v>
      </c>
      <c r="I205" s="22">
        <v>100000</v>
      </c>
      <c r="J205" s="14" t="s">
        <v>197</v>
      </c>
      <c r="K205" s="14" t="s">
        <v>53</v>
      </c>
    </row>
    <row r="206" spans="1:11">
      <c r="A206" s="17">
        <v>202</v>
      </c>
      <c r="B206" s="17" t="s">
        <v>362</v>
      </c>
      <c r="C206" s="17" t="s">
        <v>372</v>
      </c>
      <c r="D206" s="17" t="s">
        <v>68</v>
      </c>
      <c r="E206" s="8" t="s">
        <v>43</v>
      </c>
      <c r="F206" s="8" t="s">
        <v>378</v>
      </c>
      <c r="G206" s="8" t="s">
        <v>379</v>
      </c>
      <c r="H206" s="23">
        <v>147000000</v>
      </c>
      <c r="I206" s="9">
        <v>0</v>
      </c>
      <c r="J206" s="17" t="s">
        <v>87</v>
      </c>
      <c r="K206" s="17" t="s">
        <v>53</v>
      </c>
    </row>
    <row r="207" spans="1:11">
      <c r="A207" s="14">
        <v>203</v>
      </c>
      <c r="B207" s="14" t="s">
        <v>362</v>
      </c>
      <c r="C207" s="14" t="s">
        <v>372</v>
      </c>
      <c r="D207" s="14" t="s">
        <v>68</v>
      </c>
      <c r="E207" s="5" t="s">
        <v>50</v>
      </c>
      <c r="F207" s="5" t="s">
        <v>69</v>
      </c>
      <c r="G207" s="5" t="s">
        <v>380</v>
      </c>
      <c r="H207" s="28">
        <v>2500</v>
      </c>
      <c r="I207" s="6">
        <v>0</v>
      </c>
      <c r="J207" s="14" t="s">
        <v>87</v>
      </c>
      <c r="K207" s="14" t="s">
        <v>53</v>
      </c>
    </row>
    <row r="208" spans="1:11">
      <c r="A208" s="17">
        <v>204</v>
      </c>
      <c r="B208" s="17" t="s">
        <v>362</v>
      </c>
      <c r="C208" s="17" t="s">
        <v>372</v>
      </c>
      <c r="D208" s="17" t="s">
        <v>68</v>
      </c>
      <c r="E208" s="8" t="s">
        <v>47</v>
      </c>
      <c r="F208" s="8" t="s">
        <v>381</v>
      </c>
      <c r="G208" s="8" t="s">
        <v>382</v>
      </c>
      <c r="H208" s="23">
        <v>15154500</v>
      </c>
      <c r="I208" s="9">
        <v>0</v>
      </c>
      <c r="J208" s="17" t="s">
        <v>74</v>
      </c>
      <c r="K208" s="17" t="s">
        <v>53</v>
      </c>
    </row>
    <row r="209" spans="1:11">
      <c r="A209" s="14">
        <v>205</v>
      </c>
      <c r="B209" s="14" t="s">
        <v>362</v>
      </c>
      <c r="C209" s="14" t="s">
        <v>372</v>
      </c>
      <c r="D209" s="14" t="s">
        <v>68</v>
      </c>
      <c r="E209" s="5" t="s">
        <v>47</v>
      </c>
      <c r="F209" s="5" t="s">
        <v>381</v>
      </c>
      <c r="G209" s="5" t="s">
        <v>383</v>
      </c>
      <c r="H209" s="28">
        <v>15154500</v>
      </c>
      <c r="I209" s="6">
        <v>0</v>
      </c>
      <c r="J209" s="14" t="s">
        <v>74</v>
      </c>
      <c r="K209" s="14" t="s">
        <v>53</v>
      </c>
    </row>
    <row r="210" spans="1:11">
      <c r="A210" s="17">
        <v>206</v>
      </c>
      <c r="B210" s="17" t="s">
        <v>362</v>
      </c>
      <c r="C210" s="17" t="s">
        <v>372</v>
      </c>
      <c r="D210" s="17" t="s">
        <v>68</v>
      </c>
      <c r="E210" s="8" t="s">
        <v>47</v>
      </c>
      <c r="F210" s="8" t="s">
        <v>381</v>
      </c>
      <c r="G210" s="8" t="s">
        <v>384</v>
      </c>
      <c r="H210" s="23">
        <v>15154500</v>
      </c>
      <c r="I210" s="9">
        <v>0</v>
      </c>
      <c r="J210" s="17" t="s">
        <v>74</v>
      </c>
      <c r="K210" s="17" t="s">
        <v>53</v>
      </c>
    </row>
    <row r="211" spans="1:11">
      <c r="A211" s="14">
        <v>207</v>
      </c>
      <c r="B211" s="14" t="s">
        <v>362</v>
      </c>
      <c r="C211" s="14" t="s">
        <v>385</v>
      </c>
      <c r="D211" s="14" t="s">
        <v>68</v>
      </c>
      <c r="E211" s="5" t="s">
        <v>43</v>
      </c>
      <c r="F211" s="5" t="s">
        <v>386</v>
      </c>
      <c r="G211" s="5" t="s">
        <v>387</v>
      </c>
      <c r="H211" s="28">
        <v>14800000</v>
      </c>
      <c r="I211" s="6">
        <v>0</v>
      </c>
      <c r="J211" s="14" t="s">
        <v>87</v>
      </c>
      <c r="K211" s="14" t="s">
        <v>53</v>
      </c>
    </row>
    <row r="212" spans="1:11">
      <c r="A212" s="17">
        <v>208</v>
      </c>
      <c r="B212" s="17" t="s">
        <v>362</v>
      </c>
      <c r="C212" s="17" t="s">
        <v>385</v>
      </c>
      <c r="D212" s="17" t="s">
        <v>68</v>
      </c>
      <c r="E212" s="8" t="s">
        <v>50</v>
      </c>
      <c r="F212" s="8" t="s">
        <v>69</v>
      </c>
      <c r="G212" s="8" t="s">
        <v>388</v>
      </c>
      <c r="H212" s="23">
        <v>2500</v>
      </c>
      <c r="I212" s="9">
        <v>0</v>
      </c>
      <c r="J212" s="17" t="s">
        <v>87</v>
      </c>
      <c r="K212" s="17" t="s">
        <v>53</v>
      </c>
    </row>
    <row r="213" spans="1:11">
      <c r="A213" s="24">
        <v>209</v>
      </c>
      <c r="B213" s="24" t="s">
        <v>362</v>
      </c>
      <c r="C213" s="24" t="s">
        <v>389</v>
      </c>
      <c r="D213" s="24" t="s">
        <v>68</v>
      </c>
      <c r="E213" s="25" t="s">
        <v>29</v>
      </c>
      <c r="F213" s="25" t="s">
        <v>76</v>
      </c>
      <c r="G213" s="25" t="s">
        <v>390</v>
      </c>
      <c r="H213" s="26">
        <v>0</v>
      </c>
      <c r="I213" s="27">
        <v>1184000154</v>
      </c>
      <c r="J213" s="24" t="s">
        <v>78</v>
      </c>
      <c r="K213" s="24" t="s">
        <v>53</v>
      </c>
    </row>
    <row r="214" spans="1:11">
      <c r="A214" s="29">
        <v>210</v>
      </c>
      <c r="B214" s="29" t="s">
        <v>362</v>
      </c>
      <c r="C214" s="29" t="s">
        <v>391</v>
      </c>
      <c r="D214" s="29" t="s">
        <v>68</v>
      </c>
      <c r="E214" s="30" t="s">
        <v>42</v>
      </c>
      <c r="F214" s="30" t="s">
        <v>392</v>
      </c>
      <c r="G214" s="30" t="s">
        <v>393</v>
      </c>
      <c r="H214" s="31">
        <v>1100000000</v>
      </c>
      <c r="I214" s="32">
        <v>0</v>
      </c>
      <c r="J214" s="29" t="s">
        <v>97</v>
      </c>
      <c r="K214" s="29" t="s">
        <v>53</v>
      </c>
    </row>
    <row r="215" spans="1:11">
      <c r="A215" s="24">
        <v>211</v>
      </c>
      <c r="B215" s="24" t="s">
        <v>362</v>
      </c>
      <c r="C215" s="24" t="s">
        <v>394</v>
      </c>
      <c r="D215" s="24" t="s">
        <v>68</v>
      </c>
      <c r="E215" s="25" t="s">
        <v>29</v>
      </c>
      <c r="F215" s="25" t="s">
        <v>69</v>
      </c>
      <c r="G215" s="25" t="s">
        <v>395</v>
      </c>
      <c r="H215" s="26">
        <v>0</v>
      </c>
      <c r="I215" s="27">
        <v>888000115</v>
      </c>
      <c r="J215" s="24" t="s">
        <v>71</v>
      </c>
      <c r="K215" s="24" t="s">
        <v>53</v>
      </c>
    </row>
    <row r="216" spans="1:11">
      <c r="A216" s="17">
        <v>212</v>
      </c>
      <c r="B216" s="17" t="s">
        <v>362</v>
      </c>
      <c r="C216" s="17" t="s">
        <v>396</v>
      </c>
      <c r="D216" s="17" t="s">
        <v>68</v>
      </c>
      <c r="E216" s="8" t="s">
        <v>49</v>
      </c>
      <c r="F216" s="8" t="s">
        <v>113</v>
      </c>
      <c r="G216" s="8" t="s">
        <v>69</v>
      </c>
      <c r="H216" s="23">
        <v>25000</v>
      </c>
      <c r="I216" s="9">
        <v>0</v>
      </c>
      <c r="J216" s="17" t="s">
        <v>114</v>
      </c>
      <c r="K216" s="17" t="s">
        <v>53</v>
      </c>
    </row>
    <row r="217" spans="1:11">
      <c r="A217" s="14">
        <v>213</v>
      </c>
      <c r="B217" s="14" t="s">
        <v>362</v>
      </c>
      <c r="C217" s="14" t="s">
        <v>396</v>
      </c>
      <c r="D217" s="14" t="s">
        <v>68</v>
      </c>
      <c r="E217" s="5" t="s">
        <v>39</v>
      </c>
      <c r="F217" s="5" t="s">
        <v>115</v>
      </c>
      <c r="G217" s="5" t="s">
        <v>69</v>
      </c>
      <c r="H217" s="6">
        <v>0</v>
      </c>
      <c r="I217" s="22">
        <v>77864.03</v>
      </c>
      <c r="J217" s="14" t="s">
        <v>116</v>
      </c>
      <c r="K217" s="14" t="s">
        <v>53</v>
      </c>
    </row>
    <row r="218" spans="1:11">
      <c r="A218" s="17">
        <v>214</v>
      </c>
      <c r="B218" s="17" t="s">
        <v>362</v>
      </c>
      <c r="C218" s="17" t="s">
        <v>396</v>
      </c>
      <c r="D218" s="17" t="s">
        <v>68</v>
      </c>
      <c r="E218" s="8" t="s">
        <v>51</v>
      </c>
      <c r="F218" s="8" t="s">
        <v>117</v>
      </c>
      <c r="G218" s="8" t="s">
        <v>69</v>
      </c>
      <c r="H218" s="23">
        <v>15572.81</v>
      </c>
      <c r="I218" s="9">
        <v>0</v>
      </c>
      <c r="J218" s="17" t="s">
        <v>118</v>
      </c>
      <c r="K218" s="17" t="s">
        <v>53</v>
      </c>
    </row>
    <row r="219" spans="1:11">
      <c r="A219" s="20"/>
      <c r="B219" s="20" t="s">
        <v>397</v>
      </c>
      <c r="C219" s="20" t="s">
        <v>53</v>
      </c>
      <c r="D219" s="20" t="s">
        <v>53</v>
      </c>
      <c r="E219" s="20" t="s">
        <v>53</v>
      </c>
      <c r="F219" s="20" t="s">
        <v>53</v>
      </c>
      <c r="G219" s="20" t="s">
        <v>53</v>
      </c>
      <c r="H219" s="12">
        <f>SUM(H5:H218)</f>
        <v>17535710703.440002</v>
      </c>
      <c r="I219" s="12">
        <f>SUM(I5:I218)</f>
        <v>18510919019.149998</v>
      </c>
      <c r="J219" s="20" t="s">
        <v>53</v>
      </c>
      <c r="K219" s="20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" customWidth="1"/>
    <col min="2" max="3" width="25" customWidth="1"/>
    <col min="4" max="4" width="22" customWidth="1"/>
    <col min="5" max="5" width="12" customWidth="1"/>
    <col min="6" max="6" width="45" customWidth="1"/>
    <col min="7" max="7" width="22" customWidth="1"/>
    <col min="8" max="8" width="45" customWidth="1"/>
    <col min="9" max="9" width="22" customWidth="1"/>
  </cols>
  <sheetData>
    <row r="1" spans="1:9" ht="25.5">
      <c r="A1" s="1" t="s">
        <v>398</v>
      </c>
    </row>
    <row r="2" spans="1:9">
      <c r="A2" s="2" t="s">
        <v>399</v>
      </c>
    </row>
    <row r="4" spans="1:9">
      <c r="A4" s="4" t="s">
        <v>400</v>
      </c>
      <c r="B4" s="4" t="s">
        <v>401</v>
      </c>
      <c r="C4" s="4" t="s">
        <v>402</v>
      </c>
      <c r="D4" s="4" t="s">
        <v>403</v>
      </c>
      <c r="E4" s="4" t="s">
        <v>404</v>
      </c>
      <c r="F4" s="4" t="s">
        <v>405</v>
      </c>
      <c r="G4" s="4" t="s">
        <v>406</v>
      </c>
      <c r="H4" s="4" t="s">
        <v>407</v>
      </c>
      <c r="I4" s="4" t="s">
        <v>406</v>
      </c>
    </row>
    <row r="5" spans="1:9">
      <c r="A5" s="5" t="s">
        <v>13</v>
      </c>
      <c r="B5" s="6">
        <f>SUMIFS('Detail Transaksi'!I:I, 'Detail Transaksi'!B:B, "2026-01")</f>
        <v>1176846175.9100001</v>
      </c>
      <c r="C5" s="6">
        <f>SUMIFS('Detail Transaksi'!H:H, 'Detail Transaksi'!B:B, "2026-01")</f>
        <v>1176284535.1800001</v>
      </c>
      <c r="D5" s="6">
        <f t="shared" ref="D5:D11" si="0">B5-C5</f>
        <v>561640.73000001907</v>
      </c>
      <c r="E5" s="7">
        <v>24</v>
      </c>
      <c r="F5" s="5" t="s">
        <v>408</v>
      </c>
      <c r="G5" s="6">
        <v>1130848000</v>
      </c>
      <c r="H5" s="5" t="s">
        <v>409</v>
      </c>
      <c r="I5" s="6">
        <v>990000000</v>
      </c>
    </row>
    <row r="6" spans="1:9">
      <c r="A6" s="8" t="s">
        <v>14</v>
      </c>
      <c r="B6" s="9">
        <f>SUMIFS('Detail Transaksi'!I:I, 'Detail Transaksi'!B:B, "2026-02")</f>
        <v>113820070.31</v>
      </c>
      <c r="C6" s="9">
        <f>SUMIFS('Detail Transaksi'!H:H, 'Detail Transaksi'!B:B, "2026-02")</f>
        <v>110996414.06</v>
      </c>
      <c r="D6" s="9">
        <f t="shared" si="0"/>
        <v>2823656.25</v>
      </c>
      <c r="E6" s="10">
        <v>15</v>
      </c>
      <c r="F6" s="8" t="s">
        <v>410</v>
      </c>
      <c r="G6" s="9">
        <v>100000000</v>
      </c>
      <c r="H6" s="8" t="s">
        <v>411</v>
      </c>
      <c r="I6" s="9">
        <v>21252500</v>
      </c>
    </row>
    <row r="7" spans="1:9">
      <c r="A7" s="5" t="s">
        <v>15</v>
      </c>
      <c r="B7" s="6">
        <f>SUMIFS('Detail Transaksi'!I:I, 'Detail Transaksi'!B:B, "2026-03")</f>
        <v>2095073436.1800001</v>
      </c>
      <c r="C7" s="6">
        <f>SUMIFS('Detail Transaksi'!H:H, 'Detail Transaksi'!B:B, "2026-03")</f>
        <v>2050213644.24</v>
      </c>
      <c r="D7" s="6">
        <f t="shared" si="0"/>
        <v>44859791.940000057</v>
      </c>
      <c r="E7" s="7">
        <v>38</v>
      </c>
      <c r="F7" s="5" t="s">
        <v>408</v>
      </c>
      <c r="G7" s="6">
        <v>1144120000</v>
      </c>
      <c r="H7" s="5" t="s">
        <v>412</v>
      </c>
      <c r="I7" s="6">
        <v>532000000</v>
      </c>
    </row>
    <row r="8" spans="1:9">
      <c r="A8" s="8" t="s">
        <v>16</v>
      </c>
      <c r="B8" s="9">
        <f>SUMIFS('Detail Transaksi'!I:I, 'Detail Transaksi'!B:B, "2026-04")</f>
        <v>3290407368.8299999</v>
      </c>
      <c r="C8" s="9">
        <f>SUMIFS('Detail Transaksi'!H:H, 'Detail Transaksi'!B:B, "2026-04")</f>
        <v>3331203364.1700001</v>
      </c>
      <c r="D8" s="9">
        <f t="shared" si="0"/>
        <v>-40795995.340000153</v>
      </c>
      <c r="E8" s="10">
        <v>38</v>
      </c>
      <c r="F8" s="8" t="s">
        <v>408</v>
      </c>
      <c r="G8" s="9">
        <v>1510427200</v>
      </c>
      <c r="H8" s="8" t="s">
        <v>413</v>
      </c>
      <c r="I8" s="9">
        <v>1000000000</v>
      </c>
    </row>
    <row r="9" spans="1:9">
      <c r="A9" s="5" t="s">
        <v>17</v>
      </c>
      <c r="B9" s="6">
        <f>SUMIFS('Detail Transaksi'!I:I, 'Detail Transaksi'!B:B, "2026-05")</f>
        <v>3530441602.6399999</v>
      </c>
      <c r="C9" s="6">
        <f>SUMIFS('Detail Transaksi'!H:H, 'Detail Transaksi'!B:B, "2026-05")</f>
        <v>3530936920.5300002</v>
      </c>
      <c r="D9" s="6">
        <f t="shared" si="0"/>
        <v>-495317.89000034332</v>
      </c>
      <c r="E9" s="7">
        <v>27</v>
      </c>
      <c r="F9" s="5" t="s">
        <v>408</v>
      </c>
      <c r="G9" s="6">
        <v>1514788000</v>
      </c>
      <c r="H9" s="5" t="s">
        <v>414</v>
      </c>
      <c r="I9" s="6">
        <v>1000000000</v>
      </c>
    </row>
    <row r="10" spans="1:9">
      <c r="A10" s="8" t="s">
        <v>18</v>
      </c>
      <c r="B10" s="9">
        <f>SUMIFS('Detail Transaksi'!I:I, 'Detail Transaksi'!B:B, "2026-06")</f>
        <v>4677736172.25</v>
      </c>
      <c r="C10" s="9">
        <f>SUMIFS('Detail Transaksi'!H:H, 'Detail Transaksi'!B:B, "2026-06")</f>
        <v>4413740682.4499998</v>
      </c>
      <c r="D10" s="9">
        <f t="shared" si="0"/>
        <v>263995489.80000019</v>
      </c>
      <c r="E10" s="10">
        <v>49</v>
      </c>
      <c r="F10" s="8" t="s">
        <v>408</v>
      </c>
      <c r="G10" s="9">
        <v>1486348000</v>
      </c>
      <c r="H10" s="8" t="s">
        <v>412</v>
      </c>
      <c r="I10" s="9">
        <v>1000000000</v>
      </c>
    </row>
    <row r="11" spans="1:9">
      <c r="A11" s="5" t="s">
        <v>19</v>
      </c>
      <c r="B11" s="6">
        <f>SUMIFS('Detail Transaksi'!I:I, 'Detail Transaksi'!B:B, "2026-07")</f>
        <v>3626594193.0300002</v>
      </c>
      <c r="C11" s="6">
        <f>SUMIFS('Detail Transaksi'!H:H, 'Detail Transaksi'!B:B, "2026-07")</f>
        <v>2922335142.8099999</v>
      </c>
      <c r="D11" s="6">
        <f t="shared" si="0"/>
        <v>704259050.22000027</v>
      </c>
      <c r="E11" s="7">
        <v>23</v>
      </c>
      <c r="F11" s="5" t="s">
        <v>408</v>
      </c>
      <c r="G11" s="6">
        <v>1184000154</v>
      </c>
      <c r="H11" s="5" t="s">
        <v>415</v>
      </c>
      <c r="I11" s="6">
        <v>1100000000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tabSelected="1" topLeftCell="F1" workbookViewId="0">
      <pane ySplit="7" topLeftCell="A26" activePane="bottomLeft" state="frozen"/>
      <selection pane="bottomLeft" activeCell="I36" sqref="I36"/>
    </sheetView>
  </sheetViews>
  <sheetFormatPr defaultRowHeight="15"/>
  <cols>
    <col min="1" max="1" width="8" customWidth="1"/>
    <col min="2" max="2" width="21.42578125" customWidth="1"/>
    <col min="3" max="3" width="16" customWidth="1"/>
    <col min="4" max="4" width="18" customWidth="1"/>
    <col min="5" max="5" width="48.85546875" customWidth="1"/>
    <col min="6" max="6" width="64.85546875" customWidth="1"/>
    <col min="7" max="7" width="45" customWidth="1"/>
    <col min="8" max="8" width="26" customWidth="1"/>
    <col min="9" max="9" width="14" customWidth="1"/>
    <col min="10" max="10" width="28" customWidth="1"/>
  </cols>
  <sheetData>
    <row r="1" spans="1:10" ht="25.5">
      <c r="A1" s="1" t="s">
        <v>416</v>
      </c>
    </row>
    <row r="2" spans="1:10">
      <c r="A2" s="2" t="s">
        <v>417</v>
      </c>
    </row>
    <row r="4" spans="1:10">
      <c r="A4" s="34" t="s">
        <v>418</v>
      </c>
      <c r="B4" s="35"/>
      <c r="C4" s="34" t="s">
        <v>419</v>
      </c>
      <c r="D4" s="35"/>
      <c r="E4" s="34" t="s">
        <v>420</v>
      </c>
      <c r="F4" s="35"/>
      <c r="G4" s="34" t="s">
        <v>421</v>
      </c>
      <c r="H4" s="35"/>
    </row>
    <row r="5" spans="1:10" ht="20.25">
      <c r="A5" s="36">
        <f>SUM(H8:H32)</f>
        <v>17536612312</v>
      </c>
      <c r="B5" s="35"/>
      <c r="C5" s="37">
        <v>25</v>
      </c>
      <c r="D5" s="35"/>
      <c r="E5" s="38">
        <f>MAX(H8:H32)</f>
        <v>1514788000</v>
      </c>
      <c r="F5" s="35"/>
      <c r="G5" s="38">
        <f>AVERAGE(H8:H32)</f>
        <v>701464492.48000002</v>
      </c>
      <c r="H5" s="35"/>
    </row>
    <row r="7" spans="1:10" ht="28.5">
      <c r="A7" s="4" t="s">
        <v>22</v>
      </c>
      <c r="B7" s="4" t="s">
        <v>56</v>
      </c>
      <c r="C7" s="4" t="s">
        <v>57</v>
      </c>
      <c r="D7" s="4" t="s">
        <v>58</v>
      </c>
      <c r="E7" s="4" t="s">
        <v>422</v>
      </c>
      <c r="F7" s="4" t="s">
        <v>60</v>
      </c>
      <c r="G7" s="4" t="s">
        <v>61</v>
      </c>
      <c r="H7" s="4" t="s">
        <v>423</v>
      </c>
      <c r="I7" s="4" t="s">
        <v>64</v>
      </c>
      <c r="J7" s="4" t="s">
        <v>65</v>
      </c>
    </row>
    <row r="8" spans="1:10">
      <c r="A8" s="14">
        <v>1</v>
      </c>
      <c r="B8" s="14" t="s">
        <v>66</v>
      </c>
      <c r="C8" s="14" t="s">
        <v>67</v>
      </c>
      <c r="D8" s="14" t="s">
        <v>68</v>
      </c>
      <c r="E8" s="5" t="s">
        <v>35</v>
      </c>
      <c r="F8" s="5" t="s">
        <v>69</v>
      </c>
      <c r="G8" s="5" t="s">
        <v>70</v>
      </c>
      <c r="H8" s="22">
        <v>27438000</v>
      </c>
      <c r="I8" s="14" t="s">
        <v>71</v>
      </c>
      <c r="J8" s="14" t="s">
        <v>53</v>
      </c>
    </row>
    <row r="9" spans="1:10">
      <c r="A9" s="24">
        <v>2</v>
      </c>
      <c r="B9" s="24" t="s">
        <v>66</v>
      </c>
      <c r="C9" s="24" t="s">
        <v>75</v>
      </c>
      <c r="D9" s="24" t="s">
        <v>68</v>
      </c>
      <c r="E9" s="25" t="s">
        <v>29</v>
      </c>
      <c r="F9" s="25" t="s">
        <v>76</v>
      </c>
      <c r="G9" s="25" t="s">
        <v>77</v>
      </c>
      <c r="H9" s="27">
        <v>1130848000</v>
      </c>
      <c r="I9" s="24" t="s">
        <v>78</v>
      </c>
      <c r="J9" s="24" t="s">
        <v>53</v>
      </c>
    </row>
    <row r="10" spans="1:10">
      <c r="A10" s="14">
        <v>3</v>
      </c>
      <c r="B10" s="14" t="s">
        <v>66</v>
      </c>
      <c r="C10" s="14" t="s">
        <v>107</v>
      </c>
      <c r="D10" s="14" t="s">
        <v>68</v>
      </c>
      <c r="E10" s="5" t="s">
        <v>29</v>
      </c>
      <c r="F10" s="5" t="s">
        <v>108</v>
      </c>
      <c r="G10" s="5" t="s">
        <v>109</v>
      </c>
      <c r="H10" s="22">
        <v>18530000</v>
      </c>
      <c r="I10" s="14" t="s">
        <v>78</v>
      </c>
      <c r="J10" s="14" t="s">
        <v>53</v>
      </c>
    </row>
    <row r="11" spans="1:10">
      <c r="A11" s="17">
        <v>4</v>
      </c>
      <c r="B11" s="17" t="s">
        <v>119</v>
      </c>
      <c r="C11" s="17" t="s">
        <v>120</v>
      </c>
      <c r="D11" s="17" t="s">
        <v>68</v>
      </c>
      <c r="E11" s="8" t="s">
        <v>35</v>
      </c>
      <c r="F11" s="8" t="s">
        <v>69</v>
      </c>
      <c r="G11" s="8" t="s">
        <v>70</v>
      </c>
      <c r="H11" s="33">
        <v>13718000</v>
      </c>
      <c r="I11" s="17" t="s">
        <v>71</v>
      </c>
      <c r="J11" s="17" t="s">
        <v>53</v>
      </c>
    </row>
    <row r="12" spans="1:10">
      <c r="A12" s="14">
        <v>5</v>
      </c>
      <c r="B12" s="14" t="s">
        <v>143</v>
      </c>
      <c r="C12" s="14" t="s">
        <v>144</v>
      </c>
      <c r="D12" s="14" t="s">
        <v>68</v>
      </c>
      <c r="E12" s="5" t="s">
        <v>35</v>
      </c>
      <c r="F12" s="5" t="s">
        <v>69</v>
      </c>
      <c r="G12" s="5" t="s">
        <v>70</v>
      </c>
      <c r="H12" s="22">
        <v>34298000</v>
      </c>
      <c r="I12" s="14" t="s">
        <v>71</v>
      </c>
      <c r="J12" s="14" t="s">
        <v>53</v>
      </c>
    </row>
    <row r="13" spans="1:10">
      <c r="A13" s="24">
        <v>6</v>
      </c>
      <c r="B13" s="24" t="s">
        <v>143</v>
      </c>
      <c r="C13" s="24" t="s">
        <v>149</v>
      </c>
      <c r="D13" s="24" t="s">
        <v>68</v>
      </c>
      <c r="E13" s="25" t="s">
        <v>29</v>
      </c>
      <c r="F13" s="25" t="s">
        <v>76</v>
      </c>
      <c r="G13" s="25" t="s">
        <v>150</v>
      </c>
      <c r="H13" s="27">
        <v>1144120000</v>
      </c>
      <c r="I13" s="24" t="s">
        <v>78</v>
      </c>
      <c r="J13" s="24" t="s">
        <v>53</v>
      </c>
    </row>
    <row r="14" spans="1:10">
      <c r="A14" s="14">
        <v>7</v>
      </c>
      <c r="B14" s="14" t="s">
        <v>143</v>
      </c>
      <c r="C14" s="14" t="s">
        <v>164</v>
      </c>
      <c r="D14" s="14" t="s">
        <v>68</v>
      </c>
      <c r="E14" s="5" t="s">
        <v>35</v>
      </c>
      <c r="F14" s="5" t="s">
        <v>69</v>
      </c>
      <c r="G14" s="5" t="s">
        <v>70</v>
      </c>
      <c r="H14" s="22">
        <v>6858000</v>
      </c>
      <c r="I14" s="14" t="s">
        <v>71</v>
      </c>
      <c r="J14" s="14" t="s">
        <v>53</v>
      </c>
    </row>
    <row r="15" spans="1:10">
      <c r="A15" s="17">
        <v>8</v>
      </c>
      <c r="B15" s="17" t="s">
        <v>143</v>
      </c>
      <c r="C15" s="17" t="s">
        <v>186</v>
      </c>
      <c r="D15" s="17" t="s">
        <v>68</v>
      </c>
      <c r="E15" s="8" t="s">
        <v>29</v>
      </c>
      <c r="F15" s="8" t="s">
        <v>76</v>
      </c>
      <c r="G15" s="8" t="s">
        <v>187</v>
      </c>
      <c r="H15" s="33">
        <v>867774880</v>
      </c>
      <c r="I15" s="17" t="s">
        <v>78</v>
      </c>
      <c r="J15" s="17" t="s">
        <v>53</v>
      </c>
    </row>
    <row r="16" spans="1:10">
      <c r="A16" s="24">
        <v>9</v>
      </c>
      <c r="B16" s="24" t="s">
        <v>199</v>
      </c>
      <c r="C16" s="24" t="s">
        <v>204</v>
      </c>
      <c r="D16" s="24" t="s">
        <v>68</v>
      </c>
      <c r="E16" s="25" t="s">
        <v>29</v>
      </c>
      <c r="F16" s="25" t="s">
        <v>76</v>
      </c>
      <c r="G16" s="25" t="s">
        <v>205</v>
      </c>
      <c r="H16" s="27">
        <v>1510427200</v>
      </c>
      <c r="I16" s="24" t="s">
        <v>78</v>
      </c>
      <c r="J16" s="24" t="s">
        <v>53</v>
      </c>
    </row>
    <row r="17" spans="1:10">
      <c r="A17" s="17">
        <v>10</v>
      </c>
      <c r="B17" s="17" t="s">
        <v>199</v>
      </c>
      <c r="C17" s="17" t="s">
        <v>204</v>
      </c>
      <c r="D17" s="17" t="s">
        <v>68</v>
      </c>
      <c r="E17" s="8" t="s">
        <v>29</v>
      </c>
      <c r="F17" s="8" t="s">
        <v>108</v>
      </c>
      <c r="G17" s="8" t="s">
        <v>206</v>
      </c>
      <c r="H17" s="33">
        <v>37060000</v>
      </c>
      <c r="I17" s="17" t="s">
        <v>78</v>
      </c>
      <c r="J17" s="17" t="s">
        <v>53</v>
      </c>
    </row>
    <row r="18" spans="1:10">
      <c r="A18" s="24">
        <v>11</v>
      </c>
      <c r="B18" s="24" t="s">
        <v>199</v>
      </c>
      <c r="C18" s="24" t="s">
        <v>221</v>
      </c>
      <c r="D18" s="24" t="s">
        <v>68</v>
      </c>
      <c r="E18" s="25" t="s">
        <v>29</v>
      </c>
      <c r="F18" s="25" t="s">
        <v>108</v>
      </c>
      <c r="G18" s="25" t="s">
        <v>222</v>
      </c>
      <c r="H18" s="27">
        <v>1510427200</v>
      </c>
      <c r="I18" s="24" t="s">
        <v>78</v>
      </c>
      <c r="J18" s="24" t="s">
        <v>53</v>
      </c>
    </row>
    <row r="19" spans="1:10">
      <c r="A19" s="17">
        <v>12</v>
      </c>
      <c r="B19" s="17" t="s">
        <v>199</v>
      </c>
      <c r="C19" s="17" t="s">
        <v>248</v>
      </c>
      <c r="D19" s="17" t="s">
        <v>68</v>
      </c>
      <c r="E19" s="8" t="s">
        <v>33</v>
      </c>
      <c r="F19" s="8" t="s">
        <v>249</v>
      </c>
      <c r="G19" s="8" t="s">
        <v>250</v>
      </c>
      <c r="H19" s="33">
        <v>232363443</v>
      </c>
      <c r="I19" s="17" t="s">
        <v>251</v>
      </c>
      <c r="J19" s="17" t="s">
        <v>53</v>
      </c>
    </row>
    <row r="20" spans="1:10">
      <c r="A20" s="24">
        <v>13</v>
      </c>
      <c r="B20" s="24" t="s">
        <v>255</v>
      </c>
      <c r="C20" s="24" t="s">
        <v>256</v>
      </c>
      <c r="D20" s="24" t="s">
        <v>68</v>
      </c>
      <c r="E20" s="25" t="s">
        <v>29</v>
      </c>
      <c r="F20" s="25" t="s">
        <v>257</v>
      </c>
      <c r="G20" s="25" t="s">
        <v>258</v>
      </c>
      <c r="H20" s="27">
        <v>1514788000</v>
      </c>
      <c r="I20" s="24" t="s">
        <v>78</v>
      </c>
      <c r="J20" s="24" t="s">
        <v>259</v>
      </c>
    </row>
    <row r="21" spans="1:10">
      <c r="A21" s="17">
        <v>14</v>
      </c>
      <c r="B21" s="17" t="s">
        <v>255</v>
      </c>
      <c r="C21" s="17" t="s">
        <v>277</v>
      </c>
      <c r="D21" s="17" t="s">
        <v>68</v>
      </c>
      <c r="E21" s="8" t="s">
        <v>32</v>
      </c>
      <c r="F21" s="8" t="s">
        <v>281</v>
      </c>
      <c r="G21" s="8" t="s">
        <v>282</v>
      </c>
      <c r="H21" s="33">
        <v>270000000</v>
      </c>
      <c r="I21" s="17" t="s">
        <v>78</v>
      </c>
      <c r="J21" s="17" t="s">
        <v>53</v>
      </c>
    </row>
    <row r="22" spans="1:10">
      <c r="A22" s="24">
        <v>15</v>
      </c>
      <c r="B22" s="24" t="s">
        <v>255</v>
      </c>
      <c r="C22" s="24" t="s">
        <v>286</v>
      </c>
      <c r="D22" s="24" t="s">
        <v>68</v>
      </c>
      <c r="E22" s="25" t="s">
        <v>29</v>
      </c>
      <c r="F22" s="25" t="s">
        <v>108</v>
      </c>
      <c r="G22" s="25" t="s">
        <v>287</v>
      </c>
      <c r="H22" s="27">
        <v>1480660000</v>
      </c>
      <c r="I22" s="24" t="s">
        <v>78</v>
      </c>
      <c r="J22" s="24" t="s">
        <v>53</v>
      </c>
    </row>
    <row r="23" spans="1:10">
      <c r="A23" s="24">
        <v>16</v>
      </c>
      <c r="B23" s="24" t="s">
        <v>298</v>
      </c>
      <c r="C23" s="24" t="s">
        <v>311</v>
      </c>
      <c r="D23" s="24" t="s">
        <v>68</v>
      </c>
      <c r="E23" s="25" t="s">
        <v>29</v>
      </c>
      <c r="F23" s="25" t="s">
        <v>314</v>
      </c>
      <c r="G23" s="25" t="s">
        <v>315</v>
      </c>
      <c r="H23" s="27">
        <v>1486348000</v>
      </c>
      <c r="I23" s="24" t="s">
        <v>78</v>
      </c>
      <c r="J23" s="24" t="s">
        <v>316</v>
      </c>
    </row>
    <row r="24" spans="1:10">
      <c r="A24" s="14">
        <v>17</v>
      </c>
      <c r="B24" s="14" t="s">
        <v>298</v>
      </c>
      <c r="C24" s="14" t="s">
        <v>322</v>
      </c>
      <c r="D24" s="14" t="s">
        <v>68</v>
      </c>
      <c r="E24" s="5" t="s">
        <v>34</v>
      </c>
      <c r="F24" s="5" t="s">
        <v>69</v>
      </c>
      <c r="G24" s="5" t="s">
        <v>323</v>
      </c>
      <c r="H24" s="22">
        <v>222400000</v>
      </c>
      <c r="I24" s="14" t="s">
        <v>71</v>
      </c>
      <c r="J24" s="14" t="s">
        <v>53</v>
      </c>
    </row>
    <row r="25" spans="1:10">
      <c r="A25" s="24">
        <v>18</v>
      </c>
      <c r="B25" s="24" t="s">
        <v>298</v>
      </c>
      <c r="C25" s="24" t="s">
        <v>329</v>
      </c>
      <c r="D25" s="24" t="s">
        <v>68</v>
      </c>
      <c r="E25" s="25" t="s">
        <v>29</v>
      </c>
      <c r="F25" s="25" t="s">
        <v>76</v>
      </c>
      <c r="G25" s="25" t="s">
        <v>331</v>
      </c>
      <c r="H25" s="27">
        <v>1486348000</v>
      </c>
      <c r="I25" s="24" t="s">
        <v>78</v>
      </c>
      <c r="J25" s="24" t="s">
        <v>53</v>
      </c>
    </row>
    <row r="26" spans="1:10">
      <c r="A26" s="14">
        <v>19</v>
      </c>
      <c r="B26" s="14" t="s">
        <v>298</v>
      </c>
      <c r="C26" s="14" t="s">
        <v>339</v>
      </c>
      <c r="D26" s="14" t="s">
        <v>68</v>
      </c>
      <c r="E26" s="5" t="s">
        <v>29</v>
      </c>
      <c r="F26" s="5" t="s">
        <v>108</v>
      </c>
      <c r="G26" s="5" t="s">
        <v>340</v>
      </c>
      <c r="H26" s="22">
        <v>650129200</v>
      </c>
      <c r="I26" s="14" t="s">
        <v>78</v>
      </c>
      <c r="J26" s="14" t="s">
        <v>53</v>
      </c>
    </row>
    <row r="27" spans="1:10">
      <c r="A27" s="17">
        <v>20</v>
      </c>
      <c r="B27" s="17" t="s">
        <v>298</v>
      </c>
      <c r="C27" s="17" t="s">
        <v>351</v>
      </c>
      <c r="D27" s="17" t="s">
        <v>68</v>
      </c>
      <c r="E27" s="8" t="s">
        <v>31</v>
      </c>
      <c r="F27" s="8" t="s">
        <v>359</v>
      </c>
      <c r="G27" s="8" t="s">
        <v>360</v>
      </c>
      <c r="H27" s="33">
        <v>265660060</v>
      </c>
      <c r="I27" s="17" t="s">
        <v>78</v>
      </c>
      <c r="J27" s="17" t="s">
        <v>53</v>
      </c>
    </row>
    <row r="28" spans="1:10">
      <c r="A28" s="14">
        <v>21</v>
      </c>
      <c r="B28" s="14" t="s">
        <v>362</v>
      </c>
      <c r="C28" s="14" t="s">
        <v>365</v>
      </c>
      <c r="D28" s="14" t="s">
        <v>68</v>
      </c>
      <c r="E28" s="5" t="s">
        <v>29</v>
      </c>
      <c r="F28" s="5" t="s">
        <v>366</v>
      </c>
      <c r="G28" s="5" t="s">
        <v>367</v>
      </c>
      <c r="H28" s="22">
        <v>335200950</v>
      </c>
      <c r="I28" s="14" t="s">
        <v>78</v>
      </c>
      <c r="J28" s="14" t="s">
        <v>368</v>
      </c>
    </row>
    <row r="29" spans="1:10">
      <c r="A29" s="17">
        <v>22</v>
      </c>
      <c r="B29" s="17" t="s">
        <v>362</v>
      </c>
      <c r="C29" s="17" t="s">
        <v>370</v>
      </c>
      <c r="D29" s="17" t="s">
        <v>68</v>
      </c>
      <c r="E29" s="8" t="s">
        <v>31</v>
      </c>
      <c r="F29" s="8" t="s">
        <v>359</v>
      </c>
      <c r="G29" s="8" t="s">
        <v>360</v>
      </c>
      <c r="H29" s="33">
        <v>265660060</v>
      </c>
      <c r="I29" s="17" t="s">
        <v>78</v>
      </c>
      <c r="J29" s="17" t="s">
        <v>53</v>
      </c>
    </row>
    <row r="30" spans="1:10">
      <c r="A30" s="14">
        <v>23</v>
      </c>
      <c r="B30" s="14" t="s">
        <v>362</v>
      </c>
      <c r="C30" s="14" t="s">
        <v>372</v>
      </c>
      <c r="D30" s="14" t="s">
        <v>68</v>
      </c>
      <c r="E30" s="5" t="s">
        <v>29</v>
      </c>
      <c r="F30" s="5" t="s">
        <v>108</v>
      </c>
      <c r="G30" s="5" t="s">
        <v>373</v>
      </c>
      <c r="H30" s="22">
        <v>953555050</v>
      </c>
      <c r="I30" s="14" t="s">
        <v>78</v>
      </c>
      <c r="J30" s="14" t="s">
        <v>53</v>
      </c>
    </row>
    <row r="31" spans="1:10">
      <c r="A31" s="24">
        <v>24</v>
      </c>
      <c r="B31" s="24" t="s">
        <v>362</v>
      </c>
      <c r="C31" s="24" t="s">
        <v>389</v>
      </c>
      <c r="D31" s="24" t="s">
        <v>68</v>
      </c>
      <c r="E31" s="25" t="s">
        <v>29</v>
      </c>
      <c r="F31" s="25" t="s">
        <v>76</v>
      </c>
      <c r="G31" s="25" t="s">
        <v>390</v>
      </c>
      <c r="H31" s="27">
        <v>1184000154</v>
      </c>
      <c r="I31" s="24" t="s">
        <v>78</v>
      </c>
      <c r="J31" s="24" t="s">
        <v>53</v>
      </c>
    </row>
    <row r="32" spans="1:10">
      <c r="A32" s="14">
        <v>25</v>
      </c>
      <c r="B32" s="14" t="s">
        <v>362</v>
      </c>
      <c r="C32" s="14" t="s">
        <v>394</v>
      </c>
      <c r="D32" s="14" t="s">
        <v>68</v>
      </c>
      <c r="E32" s="5" t="s">
        <v>29</v>
      </c>
      <c r="F32" s="5" t="s">
        <v>69</v>
      </c>
      <c r="G32" s="5" t="s">
        <v>395</v>
      </c>
      <c r="H32" s="22">
        <v>888000115</v>
      </c>
      <c r="I32" s="14" t="s">
        <v>71</v>
      </c>
      <c r="J32" s="14" t="s">
        <v>53</v>
      </c>
    </row>
    <row r="33" spans="1:10">
      <c r="A33" s="20"/>
      <c r="B33" s="20" t="s">
        <v>424</v>
      </c>
      <c r="C33" s="20" t="s">
        <v>53</v>
      </c>
      <c r="D33" s="20" t="s">
        <v>53</v>
      </c>
      <c r="E33" s="20" t="s">
        <v>53</v>
      </c>
      <c r="F33" s="20" t="s">
        <v>53</v>
      </c>
      <c r="G33" s="20" t="s">
        <v>53</v>
      </c>
      <c r="H33" s="12">
        <f>SUM(H8:H32)</f>
        <v>17536612312</v>
      </c>
      <c r="I33" s="20" t="s">
        <v>53</v>
      </c>
      <c r="J33" s="20" t="s">
        <v>53</v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Eksekutif</vt:lpstr>
      <vt:lpstr>Detail Transaksi</vt:lpstr>
      <vt:lpstr>Rekap Bulanan</vt:lpstr>
      <vt:lpstr>Penerimaan Penjualan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Setiaji Eka Putra</cp:lastModifiedBy>
  <dcterms:created xsi:type="dcterms:W3CDTF">2026-08-05T07:17:11Z</dcterms:created>
  <dcterms:modified xsi:type="dcterms:W3CDTF">2026-08-05T07:33:08Z</dcterms:modified>
</cp:coreProperties>
</file>