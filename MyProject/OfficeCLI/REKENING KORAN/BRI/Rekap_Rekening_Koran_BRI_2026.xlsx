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activeTab="3"/>
  </bookViews>
  <sheets>
    <sheet name="Ringkasan Eksekutif" sheetId="1" r:id="rId1"/>
    <sheet name="Detail Transaksi" sheetId="2" r:id="rId2"/>
    <sheet name="Rekap Bulanan" sheetId="3" r:id="rId3"/>
    <sheet name="Payment Akr" sheetId="4" r:id="rId4"/>
  </sheets>
  <calcPr calcId="125725"/>
</workbook>
</file>

<file path=xl/calcChain.xml><?xml version="1.0" encoding="utf-8"?>
<calcChain xmlns="http://schemas.openxmlformats.org/spreadsheetml/2006/main">
  <c r="H40" i="4"/>
  <c r="G5"/>
  <c r="E5"/>
  <c r="A5"/>
  <c r="E11" i="3"/>
  <c r="D11"/>
  <c r="C11"/>
  <c r="D10"/>
  <c r="C10"/>
  <c r="E10" s="1"/>
  <c r="D9"/>
  <c r="C9"/>
  <c r="E9" s="1"/>
  <c r="D8"/>
  <c r="E8" s="1"/>
  <c r="C8"/>
  <c r="E7"/>
  <c r="D7"/>
  <c r="C7"/>
  <c r="D6"/>
  <c r="C6"/>
  <c r="E6" s="1"/>
  <c r="D5"/>
  <c r="C5"/>
  <c r="E5" s="1"/>
  <c r="I216" i="2"/>
  <c r="H216"/>
  <c r="G33" i="1"/>
  <c r="E33"/>
  <c r="F33" s="1"/>
  <c r="D33"/>
  <c r="H33" s="1"/>
  <c r="G32"/>
  <c r="E32"/>
  <c r="F32" s="1"/>
  <c r="D32"/>
  <c r="H32" s="1"/>
  <c r="G31"/>
  <c r="F31"/>
  <c r="E31"/>
  <c r="D31"/>
  <c r="H31" s="1"/>
  <c r="G30"/>
  <c r="F30"/>
  <c r="E30"/>
  <c r="D30"/>
  <c r="H30" s="1"/>
  <c r="G29"/>
  <c r="E29"/>
  <c r="F29" s="1"/>
  <c r="D29"/>
  <c r="H29" s="1"/>
  <c r="G28"/>
  <c r="E28"/>
  <c r="F28" s="1"/>
  <c r="D28"/>
  <c r="H28" s="1"/>
  <c r="G27"/>
  <c r="F27"/>
  <c r="E27"/>
  <c r="D27"/>
  <c r="H27" s="1"/>
  <c r="G26"/>
  <c r="F26"/>
  <c r="E26"/>
  <c r="D26"/>
  <c r="H26" s="1"/>
  <c r="G25"/>
  <c r="E25"/>
  <c r="F25" s="1"/>
  <c r="D25"/>
  <c r="H25" s="1"/>
  <c r="G24"/>
  <c r="E24"/>
  <c r="F24" s="1"/>
  <c r="D24"/>
  <c r="H24" s="1"/>
  <c r="G23"/>
  <c r="F23"/>
  <c r="E23"/>
  <c r="D23"/>
  <c r="H23" s="1"/>
  <c r="G22"/>
  <c r="G34" s="1"/>
  <c r="F22"/>
  <c r="E22"/>
  <c r="D22"/>
  <c r="H22" s="1"/>
  <c r="G21"/>
  <c r="E21"/>
  <c r="F21" s="1"/>
  <c r="D21"/>
  <c r="H21" s="1"/>
  <c r="G20"/>
  <c r="E20"/>
  <c r="F20" s="1"/>
  <c r="D20"/>
  <c r="D34" s="1"/>
  <c r="G15"/>
  <c r="D15"/>
  <c r="C15"/>
  <c r="E15" s="1"/>
  <c r="G14"/>
  <c r="D14"/>
  <c r="C14"/>
  <c r="E14" s="1"/>
  <c r="G13"/>
  <c r="D13"/>
  <c r="C13"/>
  <c r="E13" s="1"/>
  <c r="G12"/>
  <c r="D12"/>
  <c r="C12"/>
  <c r="E12" s="1"/>
  <c r="G11"/>
  <c r="D11"/>
  <c r="C11"/>
  <c r="E11" s="1"/>
  <c r="G10"/>
  <c r="D10"/>
  <c r="C10"/>
  <c r="E10" s="1"/>
  <c r="G9"/>
  <c r="G16" s="1"/>
  <c r="D9"/>
  <c r="D16" s="1"/>
  <c r="C9"/>
  <c r="E9" s="1"/>
  <c r="G5"/>
  <c r="C16" l="1"/>
  <c r="E16" s="1"/>
  <c r="H20"/>
  <c r="H34" s="1"/>
  <c r="E34"/>
  <c r="F34" s="1"/>
</calcChain>
</file>

<file path=xl/sharedStrings.xml><?xml version="1.0" encoding="utf-8"?>
<sst xmlns="http://schemas.openxmlformats.org/spreadsheetml/2006/main" count="2086" uniqueCount="374">
  <si>
    <t>REKAPITULASI REKENING KORAN BANK BRI</t>
  </si>
  <si>
    <t>No. Rekening: 13001002256309 | Periode: Januari - Juli 2026 | Mata Uang: IDR</t>
  </si>
  <si>
    <t>SALDO AWAL (05/01/2026)</t>
  </si>
  <si>
    <t>TOTAL UANG MASUK (KREDIT)</t>
  </si>
  <si>
    <t>TOTAL UANG KELUAR (DEBET)</t>
  </si>
  <si>
    <t>NET CASH FLOW</t>
  </si>
  <si>
    <t>SALDO AKHIR (30/07/2026)</t>
  </si>
  <si>
    <t>1. RINGKASAN ARUS KAS BULANAN (JANUARI - JULI 2026)</t>
  </si>
  <si>
    <t>Periode Bulan</t>
  </si>
  <si>
    <t>Saldo Awal (Rp)</t>
  </si>
  <si>
    <t>Total Masuk / Kredit (Rp)</t>
  </si>
  <si>
    <t>Total Keluar / Debet (Rp)</t>
  </si>
  <si>
    <t>Net Cash Flow (Rp)</t>
  </si>
  <si>
    <t>Saldo Akhir (Rp)</t>
  </si>
  <si>
    <t>Jumlah Transaksi</t>
  </si>
  <si>
    <t>Januari 2026</t>
  </si>
  <si>
    <t>Februari 2026</t>
  </si>
  <si>
    <t>Maret 2026</t>
  </si>
  <si>
    <t>April 2026</t>
  </si>
  <si>
    <t>Mei 2026</t>
  </si>
  <si>
    <t>Juni 2026</t>
  </si>
  <si>
    <t>Juli 2026</t>
  </si>
  <si>
    <t>TOTAL / SALDO AKHIR</t>
  </si>
  <si>
    <t>2. REKAPITULASI KATEGORI TRANSAKSI</t>
  </si>
  <si>
    <t>No</t>
  </si>
  <si>
    <t>Kategori Transaksi</t>
  </si>
  <si>
    <t>Jenis Arus Kas</t>
  </si>
  <si>
    <t>Total Debet (Pengeluaran)</t>
  </si>
  <si>
    <t>Total Kredit (Penerimaan)</t>
  </si>
  <si>
    <t>Net Cash Impact</t>
  </si>
  <si>
    <t>% Dari Total Arus</t>
  </si>
  <si>
    <t>Penerimaan Penjualan (AKR Corporindo)</t>
  </si>
  <si>
    <t>Uang Masuk</t>
  </si>
  <si>
    <t>Pencairan Kredit &amp; Pemindahbukuan Internal</t>
  </si>
  <si>
    <t>Transfer Masuk BI-Fast / Pihak Ketiga</t>
  </si>
  <si>
    <t>Setoran Tunai</t>
  </si>
  <si>
    <t>Pendapatan Bunga Bank</t>
  </si>
  <si>
    <t>Transfer Keluar BI-Fast / Bank Transfer</t>
  </si>
  <si>
    <t>Uang Keluar</t>
  </si>
  <si>
    <t>Pembayaran Angsuran, Pinjaman &amp; Deplesi</t>
  </si>
  <si>
    <t>Transfer Antar Rekening (Overbooking)</t>
  </si>
  <si>
    <t>Biaya Provisi, Notaris &amp; Asuransi Kredit</t>
  </si>
  <si>
    <t>Pembayaran Tagihan Listrik &amp; Pulsa</t>
  </si>
  <si>
    <t>Pembayaran BPJS</t>
  </si>
  <si>
    <t>Pembayaran e-Wallet (BRIVA/DANA)</t>
  </si>
  <si>
    <t>Biaya Admin Bank &amp; Transfer</t>
  </si>
  <si>
    <t>Pajak Bunga Tabungan</t>
  </si>
  <si>
    <t>TOTAL KATEGORI</t>
  </si>
  <si>
    <t>-</t>
  </si>
  <si>
    <t>DETAIL MUTASI TRANSAKSI REKENING KORAN BRI</t>
  </si>
  <si>
    <t>No. Rekening: 13001002256309 | Total Transaksi: 211 Items</t>
  </si>
  <si>
    <t>Periode</t>
  </si>
  <si>
    <t>Tanggal &amp; Waktu</t>
  </si>
  <si>
    <t>No. Rekening</t>
  </si>
  <si>
    <t>Kategori</t>
  </si>
  <si>
    <t>Keterangan / Remark</t>
  </si>
  <si>
    <t>Jenis (GL)</t>
  </si>
  <si>
    <t>Mutasi Debet (Rp)</t>
  </si>
  <si>
    <t>Mutasi Kredit (Rp)</t>
  </si>
  <si>
    <t>User ID</t>
  </si>
  <si>
    <t>Kode Tran</t>
  </si>
  <si>
    <t>2026-01</t>
  </si>
  <si>
    <t>2026-01-05 13:54:10</t>
  </si>
  <si>
    <t>13001002256309</t>
  </si>
  <si>
    <t>PT AKR CORPORINDO-BANK PERMATA-INV 464,4</t>
  </si>
  <si>
    <t>Kredit</t>
  </si>
  <si>
    <t>BRI0372</t>
  </si>
  <si>
    <t>563</t>
  </si>
  <si>
    <t>2026-01-05 14:24:12</t>
  </si>
  <si>
    <t>PT AKR CORPORINDO TBK-BANK PERMATA-INV 4</t>
  </si>
  <si>
    <t>2026-01-05 16:15:26</t>
  </si>
  <si>
    <t>ESB:INDS:0002A00W:0c53613fe6cb</t>
  </si>
  <si>
    <t>Debet</t>
  </si>
  <si>
    <t>0130055</t>
  </si>
  <si>
    <t>2</t>
  </si>
  <si>
    <t>2026-01-05 18:03:16</t>
  </si>
  <si>
    <t>ATMSTRPRM 08888 000598445 1140006499076</t>
  </si>
  <si>
    <t>8890407</t>
  </si>
  <si>
    <t>2026-01-05 18:06:12</t>
  </si>
  <si>
    <t>ATMSTRPRM 08888 000628332 1140010073537</t>
  </si>
  <si>
    <t>8890405</t>
  </si>
  <si>
    <t>2026-01-08 13:42:58</t>
  </si>
  <si>
    <t>PT AKR CORPORINDO-BANK PERMATA-INV: 470</t>
  </si>
  <si>
    <t>2026-01-08 15:12:41</t>
  </si>
  <si>
    <t>ATMSTRPRM 08888 000936780 1140006499076</t>
  </si>
  <si>
    <t>2026-01-08 15:14:01</t>
  </si>
  <si>
    <t>ATMSTRPRM 08888 000959306 1140010073537</t>
  </si>
  <si>
    <t>8890409</t>
  </si>
  <si>
    <t>2026-01-12 14:23:34</t>
  </si>
  <si>
    <t>2026-01-12 14:49:53</t>
  </si>
  <si>
    <t>ATMSTRPRM 08888 000753429 1140010073537</t>
  </si>
  <si>
    <t>2026-01-12 14:50:32</t>
  </si>
  <si>
    <t>ATMSTRPRM 08888 000764592 1140010073537</t>
  </si>
  <si>
    <t>2026-01-14 11:37:43</t>
  </si>
  <si>
    <t>TUNAI ; ESB:INDS:0002800D:985e6f66fc89</t>
  </si>
  <si>
    <t>0130162</t>
  </si>
  <si>
    <t>1</t>
  </si>
  <si>
    <t>2026-01-20 06:06:41</t>
  </si>
  <si>
    <t>NAS:BILL PAYMENT</t>
  </si>
  <si>
    <t>0130891</t>
  </si>
  <si>
    <t>4</t>
  </si>
  <si>
    <t>2026-01-23 16:18:55</t>
  </si>
  <si>
    <t>Transfer BI-Fast dari BANK MANDIRI (PERSERO), PT - HIJAU SEJAHT</t>
  </si>
  <si>
    <t>8888692</t>
  </si>
  <si>
    <t>2026-01-23 16:19:07</t>
  </si>
  <si>
    <t>FROM:013001002256309 TO:013001504031158</t>
  </si>
  <si>
    <t>LN0063</t>
  </si>
  <si>
    <t>400</t>
  </si>
  <si>
    <t>2026-01-23 16:28:11</t>
  </si>
  <si>
    <t>Transfer BI-Fast dari BANK MANDIRI (PERSERO), PT - WIJI INDRAYA</t>
  </si>
  <si>
    <t>8888676</t>
  </si>
  <si>
    <t>2026-01-23 16:28:29</t>
  </si>
  <si>
    <t>2026-01-25 10:32:40</t>
  </si>
  <si>
    <t>Transfer BI-Fast dari BANK MANDIRI (PERSERO), PT - BURHAN</t>
  </si>
  <si>
    <t>8888684</t>
  </si>
  <si>
    <t>2026-01-25 10:32:45</t>
  </si>
  <si>
    <t>2026-01-25 23:59:59</t>
  </si>
  <si>
    <t>Interest on Account</t>
  </si>
  <si>
    <t>160</t>
  </si>
  <si>
    <t>Minimum Balance Fee</t>
  </si>
  <si>
    <t>180</t>
  </si>
  <si>
    <t>Monthly Fee ATM</t>
  </si>
  <si>
    <t>452</t>
  </si>
  <si>
    <t>Tax</t>
  </si>
  <si>
    <t>198</t>
  </si>
  <si>
    <t>2026-01-26 12:45:49</t>
  </si>
  <si>
    <t>OB KWJIBN PNJ AN PT HIJAU SEJAHTERA</t>
  </si>
  <si>
    <t>0130053</t>
  </si>
  <si>
    <t>2026-01-27 10:59:08</t>
  </si>
  <si>
    <t>PDBTAN ANG AN PT HIJAU SEJAHTERA B</t>
  </si>
  <si>
    <t>0130058</t>
  </si>
  <si>
    <t>2026-01-29 14:23:44</t>
  </si>
  <si>
    <t>PT AKR CORPORINDO-BANK PERMATA-INV:478 &amp;</t>
  </si>
  <si>
    <t>2026-01-29 16:21:24</t>
  </si>
  <si>
    <t>ATMSTRPRM 08888 000445179 1140010073537</t>
  </si>
  <si>
    <t>8890401</t>
  </si>
  <si>
    <t>2026-02</t>
  </si>
  <si>
    <t>2026-02-09 15:03:43</t>
  </si>
  <si>
    <t>PT AKR CORPORINDO-BANK PERMATA-INV 004&amp;0</t>
  </si>
  <si>
    <t>2026-02-09 15:03:45</t>
  </si>
  <si>
    <t>2026-02-09 15:18:14</t>
  </si>
  <si>
    <t>ESB:INDS:0002A00W:b87ba2f455f0</t>
  </si>
  <si>
    <t>2026-02-09 17:40:01</t>
  </si>
  <si>
    <t>ATMSTRPRM 08888 000708687 1140006499076</t>
  </si>
  <si>
    <t>2026-02-09 17:40:47</t>
  </si>
  <si>
    <t>ATMSTRPRM 08888 000717666 692291557</t>
  </si>
  <si>
    <t>8890410</t>
  </si>
  <si>
    <t>2026-02-12 13:42:57</t>
  </si>
  <si>
    <t>PT AKR CORPORINDO-BANK PERMATA-INV: 481</t>
  </si>
  <si>
    <t>2026-02-13 21:30:13</t>
  </si>
  <si>
    <t>ATMSTRPRM 08888 000514892 1140010073537</t>
  </si>
  <si>
    <t>2026-02-19 13:52:54</t>
  </si>
  <si>
    <t>PT AKR CORPORINDO TBK-BANK PERMATA-INV 0</t>
  </si>
  <si>
    <t>2026-02-19 14:43:02</t>
  </si>
  <si>
    <t>PT AKR CORPORINDO TBK-BANK PERMATA-INV :</t>
  </si>
  <si>
    <t>2026-02-19 16:41:33</t>
  </si>
  <si>
    <t>Transfer BI-Fast ke BANK MANDIRI (PERSERO), PT - 1140006499076 - Burhan</t>
  </si>
  <si>
    <t>2026-02-19 16:43:10</t>
  </si>
  <si>
    <t>Transfer BI-Fast ke BANK MANDIRI (PERSERO), PT - 1140016063946 - Hijau Sejahtera Bers</t>
  </si>
  <si>
    <t>8890403</t>
  </si>
  <si>
    <t>2026-02-19 16:49:04</t>
  </si>
  <si>
    <t>Transfer BI-Fast ke BANK CENTRAL ASIA - 1177317888 - Hijau Sejahtera Bersama</t>
  </si>
  <si>
    <t>2026-02-19 16:50:00</t>
  </si>
  <si>
    <t>Transfer BI-Fast ke BANK MANDIRI (PERSERO), PT - 1140010073537 - Wiji Indrayani</t>
  </si>
  <si>
    <t>2026-02-20 06:06:15</t>
  </si>
  <si>
    <t>2026-02-24 09:03:51</t>
  </si>
  <si>
    <t>2026-02-24 09:05:56</t>
  </si>
  <si>
    <t>8890408</t>
  </si>
  <si>
    <t>2026-02-25 23:59:59</t>
  </si>
  <si>
    <t>2026-02-26 12:05:32</t>
  </si>
  <si>
    <t>8888665</t>
  </si>
  <si>
    <t>2026-02-26 13:10:32</t>
  </si>
  <si>
    <t>ANG PJM AN PT HIJAU SEJAHTERA</t>
  </si>
  <si>
    <t>2026-03</t>
  </si>
  <si>
    <t>2026-03-02 14:24:38</t>
  </si>
  <si>
    <t>2026-03-02 14:54:00</t>
  </si>
  <si>
    <t>PT. AKR CORPORINDO TBK.-BANK PERMATA-INV</t>
  </si>
  <si>
    <t>2026-03-03 10:34:50</t>
  </si>
  <si>
    <t>PLN-PRA 45031588457IBIZ5221844701800446</t>
  </si>
  <si>
    <t>8890406</t>
  </si>
  <si>
    <t>2026-03-03 10:36:30</t>
  </si>
  <si>
    <t>PLN-PRA 45039450379IBIZ5221844701800446</t>
  </si>
  <si>
    <t>2026-03-03 10:37:14</t>
  </si>
  <si>
    <t>PLN-PRA 45095288549IBIZ5221844701800446</t>
  </si>
  <si>
    <t>2026-03-03 10:38:09</t>
  </si>
  <si>
    <t>ATMSTRPRM 08888 000871271 1140006499076</t>
  </si>
  <si>
    <t>8890402</t>
  </si>
  <si>
    <t>2026-03-03 10:38:47</t>
  </si>
  <si>
    <t>IBIZ PT HIJAU SEJAH TO SARI WINDARSIH</t>
  </si>
  <si>
    <t>2026-03-03 14:06:56</t>
  </si>
  <si>
    <t>ESB:INDS:0002A00W:61a705311d13</t>
  </si>
  <si>
    <t>2026-03-03 17:00:41</t>
  </si>
  <si>
    <t>ATMSTRPRM 08888 000009586 1140010073537</t>
  </si>
  <si>
    <t>2026-03-04 16:03:57</t>
  </si>
  <si>
    <t>ATMSTRPRM 08888 000533969 6330860241</t>
  </si>
  <si>
    <t>2026-03-12 13:25:31</t>
  </si>
  <si>
    <t>PT AKR CORPORINDO-BANK PERMATA-INV: 21,2</t>
  </si>
  <si>
    <t>2026-03-16 15:04:37</t>
  </si>
  <si>
    <t>PT AKR CORPORINDO-BANK PERMATA-INV 024-0</t>
  </si>
  <si>
    <t>2026-03-17 15:21:32</t>
  </si>
  <si>
    <t>ATMSTRPRM 08888 000486121 1140006499076</t>
  </si>
  <si>
    <t>2026-03-17 15:22:16</t>
  </si>
  <si>
    <t>ATMSTRPRM 08888 000498198 1140006499076</t>
  </si>
  <si>
    <t>2026-03-20 06:06:44</t>
  </si>
  <si>
    <t>2026-03-25 09:55:20</t>
  </si>
  <si>
    <t>ANGS PNJ AN PT HIJAU SEJAHTERA B</t>
  </si>
  <si>
    <t>2026-03-25 23:59:59</t>
  </si>
  <si>
    <t>2026-03-30 13:43:25</t>
  </si>
  <si>
    <t>PT AKR CORPORINDO-BANK PERMATA-INV : 029</t>
  </si>
  <si>
    <t>2026-03-30 14:23:47</t>
  </si>
  <si>
    <t>PT AKR CORPORINDO-BANK PERMATA-INV 028 O</t>
  </si>
  <si>
    <t>2026-03-30 16:22:58</t>
  </si>
  <si>
    <t>ATMSTRPRM 08888 000603603 1140006499076</t>
  </si>
  <si>
    <t>2026-03-30 16:23:42</t>
  </si>
  <si>
    <t>ATMSTRPRM 08888 000613453 1140010073537</t>
  </si>
  <si>
    <t>2026-03-30 16:24:34</t>
  </si>
  <si>
    <t>ATMSTRPRM 08888 000625490 1140016063946</t>
  </si>
  <si>
    <t>2026-04</t>
  </si>
  <si>
    <t>2026-04-06 06:06:22</t>
  </si>
  <si>
    <t>2026-04-06 13:57:09</t>
  </si>
  <si>
    <t>8888688</t>
  </si>
  <si>
    <t>2026-04-06 14:24:31</t>
  </si>
  <si>
    <t>PT AKR CORPORINDO TBK-BANK PERMATA-INV ;</t>
  </si>
  <si>
    <t>2026-04-06 14:35:50</t>
  </si>
  <si>
    <t>ATMSTRPRM 08888 000640502 692291557</t>
  </si>
  <si>
    <t>2026-04-06 14:37:13</t>
  </si>
  <si>
    <t>ATMSTRPRM 08888 000667701 1140010073537</t>
  </si>
  <si>
    <t>2026-04-06 18:07:21</t>
  </si>
  <si>
    <t>2026-04-11 13:10:01</t>
  </si>
  <si>
    <t>NBMB JOSE SUMARDI TO PT HIJAU SEJAHTER</t>
  </si>
  <si>
    <t>8888264</t>
  </si>
  <si>
    <t>2026-04-11 13:10:14</t>
  </si>
  <si>
    <t>2026-04-11 13:11:24</t>
  </si>
  <si>
    <t>8888139</t>
  </si>
  <si>
    <t>2026-04-11 13:11:30</t>
  </si>
  <si>
    <t>2026-04-16 15:34:31</t>
  </si>
  <si>
    <t>PT AKR CORPORINDO-BANK PERMATA-INV 040-0</t>
  </si>
  <si>
    <t>2026-04-16 15:34:44</t>
  </si>
  <si>
    <t>2026-04-24 08:35:18</t>
  </si>
  <si>
    <t>PEMINDAHAN BUKUAN AN PT HIJAU SEJAHTERA</t>
  </si>
  <si>
    <t>5</t>
  </si>
  <si>
    <t>2026-04-24 18:54:32</t>
  </si>
  <si>
    <t>ATMSTRPRM 08888 000410829 1140010073537</t>
  </si>
  <si>
    <t>2026-04-25 23:59:59</t>
  </si>
  <si>
    <t>2026-04-27 13:33:21</t>
  </si>
  <si>
    <t>PT AKR CORPORINDO-BANK PERMATA-INV 042 O</t>
  </si>
  <si>
    <t>2026-04-28 16:38:57</t>
  </si>
  <si>
    <t>ATMSTRPRM 08888 000606231 1140010073537</t>
  </si>
  <si>
    <t>2026-04-29 10:13:52</t>
  </si>
  <si>
    <t>BY PROVISI PT HIJAU SEJAHTERA</t>
  </si>
  <si>
    <t>2026-04-29 10:13:54</t>
  </si>
  <si>
    <t>BY PROVISI AN PT HIJAU S</t>
  </si>
  <si>
    <t>2026-04-29 10:14:16</t>
  </si>
  <si>
    <t>BY ADM KMK AN PT HIJAU SEJAHTERA</t>
  </si>
  <si>
    <t>2026-04-29 10:14:28</t>
  </si>
  <si>
    <t>BY ASURANSI KEBAKARAN AN PT HIJAU S</t>
  </si>
  <si>
    <t>2026-04-29 10:14:29</t>
  </si>
  <si>
    <t>BY PK NOTARIS AN PT HIJAU S</t>
  </si>
  <si>
    <t>2026-04-29 19:27:41</t>
  </si>
  <si>
    <t>8888646</t>
  </si>
  <si>
    <t>2026-04-30 11:20:39</t>
  </si>
  <si>
    <t>Transfer BI-Fast dari BANK MANDIRI (PERSERO), PT - SETIAJI EKA</t>
  </si>
  <si>
    <t>8888611</t>
  </si>
  <si>
    <t>2026-04-30 16:37:17</t>
  </si>
  <si>
    <t>2026-04-30 21:12:03</t>
  </si>
  <si>
    <t>PNCAIRN AN PT HIJAU SEJAHTERA DEPLESI</t>
  </si>
  <si>
    <t>2026-04-30 21:12:24</t>
  </si>
  <si>
    <t>SETORAN DEPLESI AN PT HIJAU SEJAHTERA</t>
  </si>
  <si>
    <t>2026-05</t>
  </si>
  <si>
    <t>2026-05-18 15:03:52</t>
  </si>
  <si>
    <t>2026-05-25 13:55:16</t>
  </si>
  <si>
    <t>PT AKR CORPORINDO-BANK PERMATA-INV 057-0</t>
  </si>
  <si>
    <t>2026-05-25 23:59:59</t>
  </si>
  <si>
    <t>2026-05-26 12:56:05</t>
  </si>
  <si>
    <t>TUNAI ; ESB:INDS:0002800D:fefa14d6dc24</t>
  </si>
  <si>
    <t>2026-05-26 12:56:17</t>
  </si>
  <si>
    <t>2026-05-29 14:04:32</t>
  </si>
  <si>
    <t>PT AKR CORPORINDO-BANK PERMATA-INV . 064</t>
  </si>
  <si>
    <t>2026-05-29 14:34:17</t>
  </si>
  <si>
    <t>2026-05-30 20:58:05</t>
  </si>
  <si>
    <t>8888622</t>
  </si>
  <si>
    <t>2026-05-30 22:02:33</t>
  </si>
  <si>
    <t>PUL-SIM 081366439363IBIZ5221844701800446</t>
  </si>
  <si>
    <t>2026-05-30 22:04:36</t>
  </si>
  <si>
    <t>PUL-SIM 081369049547IBIZ5221844701800446</t>
  </si>
  <si>
    <t>2026-05-30 22:06:03</t>
  </si>
  <si>
    <t>Pembayaran BRIVA ke DANA - 88810081367275732</t>
  </si>
  <si>
    <t>2026-05-30 22:07:07</t>
  </si>
  <si>
    <t>ATMSTRPRM 08888 000436744 1140010073537</t>
  </si>
  <si>
    <t>2026-05-30 22:14:15</t>
  </si>
  <si>
    <t>2026-06</t>
  </si>
  <si>
    <t>2026-06-12 09:46:59</t>
  </si>
  <si>
    <t>NBMB BURHAN TO PT HIJAU SEJAHTER</t>
  </si>
  <si>
    <t>8888299</t>
  </si>
  <si>
    <t>2026-06-12 10:04:55</t>
  </si>
  <si>
    <t>ATMSTRPRM 08888 000206430 1140016063946</t>
  </si>
  <si>
    <t>2026-06-12 10:05:47</t>
  </si>
  <si>
    <t>ATMSTRPRM 08888 000220636 1140016063946</t>
  </si>
  <si>
    <t>2026-06-15 14:13:42</t>
  </si>
  <si>
    <t>PT AKR COPORINDO TBK-BANK PERMATA-INV 07</t>
  </si>
  <si>
    <t>2026-06-16 14:52:24</t>
  </si>
  <si>
    <t>ATMSTRPRM 08888 000185092 1140006499076</t>
  </si>
  <si>
    <t>2026-06-17 09:10:17</t>
  </si>
  <si>
    <t>8888269</t>
  </si>
  <si>
    <t>2026-06-17 13:08:27</t>
  </si>
  <si>
    <t>ATMSTRPRM 08888 000472840 1140016063946</t>
  </si>
  <si>
    <t>2026-06-17 13:09:20</t>
  </si>
  <si>
    <t>ATMSTRPRM 08888 000486308 1140016063946</t>
  </si>
  <si>
    <t>2026-06-23 02:49:15</t>
  </si>
  <si>
    <t>FROM:013001002256309 TO:013001506297158</t>
  </si>
  <si>
    <t>2026-06-25 09:12:34</t>
  </si>
  <si>
    <t>2026-06-25 09:14:04</t>
  </si>
  <si>
    <t>2026-06-25 09:15:08</t>
  </si>
  <si>
    <t>2026-06-25 09:16:07</t>
  </si>
  <si>
    <t>2026-06-25 09:17:08</t>
  </si>
  <si>
    <t>2026-06-25 13:15:12</t>
  </si>
  <si>
    <t>PT AKR CORPORINDO-BANK PERMATA-INV 096 &amp;</t>
  </si>
  <si>
    <t>2026-06-25 23:59:59</t>
  </si>
  <si>
    <t>2026-07</t>
  </si>
  <si>
    <t>2026-07-02 14:13:23</t>
  </si>
  <si>
    <t>PT AKR CORPORINDO TBK-BANK PERMATA-INV.</t>
  </si>
  <si>
    <t>2026-07-04 15:28:00</t>
  </si>
  <si>
    <t>ATMSTRPRM 08888 000041165 1140010073537</t>
  </si>
  <si>
    <t>2026-07-09 13:43:02</t>
  </si>
  <si>
    <t>2026-07-09 15:47:40</t>
  </si>
  <si>
    <t>ATMSTRPRM 08888 000296740 1140010073537</t>
  </si>
  <si>
    <t>2026-07-09 15:53:53</t>
  </si>
  <si>
    <t>BPJS8888890001020743IBIZD99D07F91206CD36</t>
  </si>
  <si>
    <t>2026-07-09 16:00:24</t>
  </si>
  <si>
    <t>2026-07-09 16:06:39</t>
  </si>
  <si>
    <t>ATMSTRPRM 08888 000585686 692291557</t>
  </si>
  <si>
    <t>2026-07-09 16:09:52</t>
  </si>
  <si>
    <t>ATMSTRPRM 08888 000630298 1140016063946</t>
  </si>
  <si>
    <t>2026-07-16 13:53:08</t>
  </si>
  <si>
    <t>PT AKR CORPORINDO-BANK PERMATA-INV. 125-</t>
  </si>
  <si>
    <t>2026-07-20 14:13:44</t>
  </si>
  <si>
    <t>PT AKR CORPORINDO TBK-BANK PERMATA-INV 1</t>
  </si>
  <si>
    <t>2026-07-20 14:53:32</t>
  </si>
  <si>
    <t>PT AKR CORPORINDO-BANK PERMATA-INV 133 O</t>
  </si>
  <si>
    <t>2026-07-21 09:43:57</t>
  </si>
  <si>
    <t>ATMSTRPRM 08888 000924017 1140010073537</t>
  </si>
  <si>
    <t>2026-07-21 09:45:15</t>
  </si>
  <si>
    <t>ATMSTRPRM 08888 000946978 1140010073537</t>
  </si>
  <si>
    <t>2026-07-21 09:46:14</t>
  </si>
  <si>
    <t>ATMSTRPRM 08888 000965685 1140010073537</t>
  </si>
  <si>
    <t>2026-07-23 02:50:04</t>
  </si>
  <si>
    <t>2026-07-23 14:23:11</t>
  </si>
  <si>
    <t>PT AKR CORPORINDO-BANK PERMATA-INV. 142</t>
  </si>
  <si>
    <t>2026-07-25 23:59:59</t>
  </si>
  <si>
    <t>2026-07-27 14:54:11</t>
  </si>
  <si>
    <t>PT AKR CORPORINDO-BANK PERMATA-INV. 146</t>
  </si>
  <si>
    <t>2026-07-30 14:23:04</t>
  </si>
  <si>
    <t>PT AKR CORPORINDO-BANK PERMATA-INV 148 &amp;</t>
  </si>
  <si>
    <t>TOTAL</t>
  </si>
  <si>
    <t>REKAPITULASI DETAIL PER BULAN</t>
  </si>
  <si>
    <t>Breakdown Transaksi &amp; Transaksi Terbesar Per Bulan</t>
  </si>
  <si>
    <t>Bulan</t>
  </si>
  <si>
    <t>Saldo Awal</t>
  </si>
  <si>
    <t>Total Uang Masuk</t>
  </si>
  <si>
    <t>Total Uang Keluar</t>
  </si>
  <si>
    <t>Net Cash Flow</t>
  </si>
  <si>
    <t>Saldo Akhir</t>
  </si>
  <si>
    <t>Jml Tran</t>
  </si>
  <si>
    <t>Transaksi Masuk Terbesar</t>
  </si>
  <si>
    <t>Nominal (Rp)</t>
  </si>
  <si>
    <t>Transaksi Keluar Terbesar</t>
  </si>
  <si>
    <t>DETAIL TRANSFER MASUK - PT AKR CORPORINDO TBK</t>
  </si>
  <si>
    <t>No. Rekening: 13001002256309 | Periode: Januari - Juli 2026 | Rekap Penerimaan Penjualan AKR</t>
  </si>
  <si>
    <t>TOTAL PENERIMAAN AKR</t>
  </si>
  <si>
    <t>JUMLAH TRANSAKSI</t>
  </si>
  <si>
    <t>RATA-RATA PER TRANSAKSI</t>
  </si>
  <si>
    <t>TRANSAKSI TERBESAR</t>
  </si>
  <si>
    <t>Mutasi Kredit / Masuk (Rp)</t>
  </si>
  <si>
    <t>TOTAL AKR</t>
  </si>
</sst>
</file>

<file path=xl/styles.xml><?xml version="1.0" encoding="utf-8"?>
<styleSheet xmlns="http://schemas.openxmlformats.org/spreadsheetml/2006/main">
  <numFmts count="1">
    <numFmt numFmtId="164" formatCode="\R\p\ #,##0.00;[Red]\(\R\p\ #,##0.00\);&quot;-&quot;"/>
  </numFmts>
  <fonts count="13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9"/>
      <color rgb="FF595959"/>
      <name val="Segoe UI"/>
    </font>
    <font>
      <b/>
      <sz val="14"/>
      <color rgb="FF1F4E78"/>
      <name val="Segoe UI"/>
    </font>
    <font>
      <b/>
      <sz val="14"/>
      <color rgb="FF2E75B6"/>
      <name val="Segoe UI"/>
    </font>
    <font>
      <b/>
      <sz val="14"/>
      <color rgb="FFC00000"/>
      <name val="Segoe UI"/>
    </font>
    <font>
      <b/>
      <sz val="12"/>
      <color rgb="FF1F4E78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sz val="10"/>
      <color rgb="FF2E75B6"/>
      <name val="Segoe UI"/>
    </font>
    <font>
      <sz val="10"/>
      <color rgb="FFC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164" fontId="10" fillId="5" borderId="3" xfId="0" applyNumberFormat="1" applyFont="1" applyFill="1" applyBorder="1" applyAlignment="1">
      <alignment horizontal="right" vertical="center"/>
    </xf>
    <xf numFmtId="3" fontId="10" fillId="5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/>
    <xf numFmtId="10" fontId="9" fillId="0" borderId="1" xfId="0" applyNumberFormat="1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/>
    <xf numFmtId="10" fontId="9" fillId="4" borderId="1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10" fontId="10" fillId="5" borderId="3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5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38" customWidth="1"/>
    <col min="2" max="2" width="25" customWidth="1"/>
    <col min="3" max="4" width="26" customWidth="1"/>
    <col min="5" max="6" width="24" customWidth="1"/>
    <col min="7" max="7" width="18" customWidth="1"/>
    <col min="8" max="8" width="20" customWidth="1"/>
    <col min="9" max="10" width="12" customWidth="1"/>
  </cols>
  <sheetData>
    <row r="1" spans="1:10" ht="25.5">
      <c r="A1" s="1" t="s">
        <v>0</v>
      </c>
    </row>
    <row r="2" spans="1:10">
      <c r="A2" s="2" t="s">
        <v>1</v>
      </c>
    </row>
    <row r="4" spans="1:10">
      <c r="A4" s="34" t="s">
        <v>2</v>
      </c>
      <c r="B4" s="35"/>
      <c r="C4" s="34" t="s">
        <v>3</v>
      </c>
      <c r="D4" s="35"/>
      <c r="E4" s="34" t="s">
        <v>4</v>
      </c>
      <c r="F4" s="35"/>
      <c r="G4" s="34" t="s">
        <v>5</v>
      </c>
      <c r="H4" s="35"/>
      <c r="I4" s="34" t="s">
        <v>6</v>
      </c>
      <c r="J4" s="35"/>
    </row>
    <row r="5" spans="1:10" ht="20.25">
      <c r="A5" s="37">
        <v>1372774.47</v>
      </c>
      <c r="B5" s="35"/>
      <c r="C5" s="36">
        <v>4680849241</v>
      </c>
      <c r="D5" s="35"/>
      <c r="E5" s="38">
        <v>4527245202.4700003</v>
      </c>
      <c r="F5" s="35"/>
      <c r="G5" s="37">
        <f>C5-E5</f>
        <v>153604038.52999973</v>
      </c>
      <c r="H5" s="35"/>
      <c r="I5" s="37">
        <v>154976813</v>
      </c>
      <c r="J5" s="35"/>
    </row>
    <row r="7" spans="1:10" ht="17.25">
      <c r="A7" s="3" t="s">
        <v>7</v>
      </c>
    </row>
    <row r="8" spans="1:10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 spans="1:10">
      <c r="A9" s="5" t="s">
        <v>15</v>
      </c>
      <c r="B9" s="6">
        <v>1372774.47</v>
      </c>
      <c r="C9" s="6">
        <f>SUMIFS('Detail Transaksi'!I:I, 'Detail Transaksi'!B:B, "2026-01")</f>
        <v>473115365</v>
      </c>
      <c r="D9" s="6">
        <f>SUMIFS('Detail Transaksi'!H:H, 'Detail Transaksi'!B:B, "2026-01")</f>
        <v>473341439</v>
      </c>
      <c r="E9" s="6">
        <f t="shared" ref="E9:E16" si="0">C9-D9</f>
        <v>-226074</v>
      </c>
      <c r="F9" s="6">
        <v>1146700.47</v>
      </c>
      <c r="G9" s="7">
        <f>COUNTIFS('Detail Transaksi'!B:B, "2026-01")</f>
        <v>34</v>
      </c>
    </row>
    <row r="10" spans="1:10">
      <c r="A10" s="8" t="s">
        <v>16</v>
      </c>
      <c r="B10" s="9">
        <v>1146700.47</v>
      </c>
      <c r="C10" s="9">
        <f>SUMIFS('Detail Transaksi'!I:I, 'Detail Transaksi'!B:B, "2026-02")</f>
        <v>536517008</v>
      </c>
      <c r="D10" s="9">
        <f>SUMIFS('Detail Transaksi'!H:H, 'Detail Transaksi'!B:B, "2026-02")</f>
        <v>536466203</v>
      </c>
      <c r="E10" s="9">
        <f t="shared" si="0"/>
        <v>50805</v>
      </c>
      <c r="F10" s="9">
        <v>1197505.47</v>
      </c>
      <c r="G10" s="10">
        <f>COUNTIFS('Detail Transaksi'!B:B, "2026-02")</f>
        <v>30</v>
      </c>
    </row>
    <row r="11" spans="1:10">
      <c r="A11" s="5" t="s">
        <v>17</v>
      </c>
      <c r="B11" s="6">
        <v>1197505.47</v>
      </c>
      <c r="C11" s="6">
        <f>SUMIFS('Detail Transaksi'!I:I, 'Detail Transaksi'!B:B, "2026-03")</f>
        <v>571817393</v>
      </c>
      <c r="D11" s="6">
        <f>SUMIFS('Detail Transaksi'!H:H, 'Detail Transaksi'!B:B, "2026-03")</f>
        <v>572656281</v>
      </c>
      <c r="E11" s="6">
        <f t="shared" si="0"/>
        <v>-838888</v>
      </c>
      <c r="F11" s="6">
        <v>358617.47</v>
      </c>
      <c r="G11" s="7">
        <f>COUNTIFS('Detail Transaksi'!B:B, "2026-03")</f>
        <v>35</v>
      </c>
    </row>
    <row r="12" spans="1:10">
      <c r="A12" s="8" t="s">
        <v>18</v>
      </c>
      <c r="B12" s="9">
        <v>358617.47</v>
      </c>
      <c r="C12" s="9">
        <f>SUMIFS('Detail Transaksi'!I:I, 'Detail Transaksi'!B:B, "2026-04")</f>
        <v>1976867276</v>
      </c>
      <c r="D12" s="9">
        <f>SUMIFS('Detail Transaksi'!H:H, 'Detail Transaksi'!B:B, "2026-04")</f>
        <v>1967006410.47</v>
      </c>
      <c r="E12" s="9">
        <f t="shared" si="0"/>
        <v>9860865.5299999714</v>
      </c>
      <c r="F12" s="9">
        <v>10219483</v>
      </c>
      <c r="G12" s="10">
        <f>COUNTIFS('Detail Transaksi'!B:B, "2026-04")</f>
        <v>35</v>
      </c>
    </row>
    <row r="13" spans="1:10">
      <c r="A13" s="5" t="s">
        <v>19</v>
      </c>
      <c r="B13" s="6">
        <v>10219483</v>
      </c>
      <c r="C13" s="6">
        <f>SUMIFS('Detail Transaksi'!I:I, 'Detail Transaksi'!B:B, "2026-05")</f>
        <v>157546791</v>
      </c>
      <c r="D13" s="6">
        <f>SUMIFS('Detail Transaksi'!H:H, 'Detail Transaksi'!B:B, "2026-05")</f>
        <v>76518480</v>
      </c>
      <c r="E13" s="6">
        <f t="shared" si="0"/>
        <v>81028311</v>
      </c>
      <c r="F13" s="6">
        <v>91247794</v>
      </c>
      <c r="G13" s="7">
        <f>COUNTIFS('Detail Transaksi'!B:B, "2026-05")</f>
        <v>18</v>
      </c>
    </row>
    <row r="14" spans="1:10">
      <c r="A14" s="8" t="s">
        <v>20</v>
      </c>
      <c r="B14" s="9">
        <v>91247794</v>
      </c>
      <c r="C14" s="9">
        <f>SUMIFS('Detail Transaksi'!I:I, 'Detail Transaksi'!B:B, "2026-06")</f>
        <v>475643583</v>
      </c>
      <c r="D14" s="9">
        <f>SUMIFS('Detail Transaksi'!H:H, 'Detail Transaksi'!B:B, "2026-06")</f>
        <v>419689165</v>
      </c>
      <c r="E14" s="9">
        <f t="shared" si="0"/>
        <v>55954418</v>
      </c>
      <c r="F14" s="9">
        <v>147202212</v>
      </c>
      <c r="G14" s="10">
        <f>COUNTIFS('Detail Transaksi'!B:B, "2026-06")</f>
        <v>29</v>
      </c>
    </row>
    <row r="15" spans="1:10">
      <c r="A15" s="5" t="s">
        <v>21</v>
      </c>
      <c r="B15" s="6">
        <v>147202212</v>
      </c>
      <c r="C15" s="6">
        <f>SUMIFS('Detail Transaksi'!I:I, 'Detail Transaksi'!B:B, "2026-07")</f>
        <v>489341825</v>
      </c>
      <c r="D15" s="6">
        <f>SUMIFS('Detail Transaksi'!H:H, 'Detail Transaksi'!B:B, "2026-07")</f>
        <v>481567224</v>
      </c>
      <c r="E15" s="6">
        <f t="shared" si="0"/>
        <v>7774601</v>
      </c>
      <c r="F15" s="6">
        <v>154976813</v>
      </c>
      <c r="G15" s="7">
        <f>COUNTIFS('Detail Transaksi'!B:B, "2026-07")</f>
        <v>30</v>
      </c>
    </row>
    <row r="16" spans="1:10">
      <c r="A16" s="11" t="s">
        <v>22</v>
      </c>
      <c r="B16" s="12">
        <v>1372774.47</v>
      </c>
      <c r="C16" s="12">
        <f>SUM(C9:C15)</f>
        <v>4680849241</v>
      </c>
      <c r="D16" s="12">
        <f>SUM(D9:D15)</f>
        <v>4527245202.4700003</v>
      </c>
      <c r="E16" s="12">
        <f t="shared" si="0"/>
        <v>153604038.52999973</v>
      </c>
      <c r="F16" s="12">
        <v>154976813</v>
      </c>
      <c r="G16" s="13">
        <f>SUM(G9:G15)</f>
        <v>211</v>
      </c>
    </row>
    <row r="18" spans="1:8" ht="17.25">
      <c r="A18" s="3" t="s">
        <v>23</v>
      </c>
    </row>
    <row r="19" spans="1:8" ht="28.5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  <c r="F19" s="4" t="s">
        <v>29</v>
      </c>
      <c r="G19" s="4" t="s">
        <v>14</v>
      </c>
      <c r="H19" s="4" t="s">
        <v>30</v>
      </c>
    </row>
    <row r="20" spans="1:8">
      <c r="A20" s="14">
        <v>1</v>
      </c>
      <c r="B20" s="5" t="s">
        <v>31</v>
      </c>
      <c r="C20" s="14" t="s">
        <v>32</v>
      </c>
      <c r="D20" s="6">
        <f>SUMIFS('Detail Transaksi'!H:H, 'Detail Transaksi'!E:E, B20)</f>
        <v>0</v>
      </c>
      <c r="E20" s="6">
        <f>SUMIFS('Detail Transaksi'!I:I, 'Detail Transaksi'!E:E, B20)</f>
        <v>2487698344</v>
      </c>
      <c r="F20" s="6">
        <f t="shared" ref="F20:F34" si="1">E20-D20</f>
        <v>2487698344</v>
      </c>
      <c r="G20" s="15">
        <f>COUNTIFS('Detail Transaksi'!E:E, B20)</f>
        <v>32</v>
      </c>
      <c r="H20" s="16">
        <f>(D20+E20)/('Ringkasan Eksekutif'!C5+'Ringkasan Eksekutif'!E5)</f>
        <v>0.27016429504197498</v>
      </c>
    </row>
    <row r="21" spans="1:8">
      <c r="A21" s="17">
        <v>2</v>
      </c>
      <c r="B21" s="8" t="s">
        <v>33</v>
      </c>
      <c r="C21" s="17" t="s">
        <v>32</v>
      </c>
      <c r="D21" s="9">
        <f>SUMIFS('Detail Transaksi'!H:H, 'Detail Transaksi'!E:E, B21)</f>
        <v>0</v>
      </c>
      <c r="E21" s="9">
        <f>SUMIFS('Detail Transaksi'!I:I, 'Detail Transaksi'!E:E, B21)</f>
        <v>1640000000</v>
      </c>
      <c r="F21" s="9">
        <f t="shared" si="1"/>
        <v>1640000000</v>
      </c>
      <c r="G21" s="18">
        <f>COUNTIFS('Detail Transaksi'!E:E, B21)</f>
        <v>2</v>
      </c>
      <c r="H21" s="19">
        <f>(D21+E21)/('Ringkasan Eksekutif'!C5+'Ringkasan Eksekutif'!E5)</f>
        <v>0.17810416803044629</v>
      </c>
    </row>
    <row r="22" spans="1:8">
      <c r="A22" s="14">
        <v>3</v>
      </c>
      <c r="B22" s="5" t="s">
        <v>34</v>
      </c>
      <c r="C22" s="14" t="s">
        <v>32</v>
      </c>
      <c r="D22" s="6">
        <f>SUMIFS('Detail Transaksi'!H:H, 'Detail Transaksi'!E:E, B22)</f>
        <v>0</v>
      </c>
      <c r="E22" s="6">
        <f>SUMIFS('Detail Transaksi'!I:I, 'Detail Transaksi'!E:E, B22)</f>
        <v>458000000</v>
      </c>
      <c r="F22" s="6">
        <f t="shared" si="1"/>
        <v>458000000</v>
      </c>
      <c r="G22" s="15">
        <f>COUNTIFS('Detail Transaksi'!E:E, B22)</f>
        <v>12</v>
      </c>
      <c r="H22" s="16">
        <f>(D22+E22)/('Ringkasan Eksekutif'!C5+'Ringkasan Eksekutif'!E5)</f>
        <v>4.9738846925575855E-2</v>
      </c>
    </row>
    <row r="23" spans="1:8">
      <c r="A23" s="17">
        <v>4</v>
      </c>
      <c r="B23" s="8" t="s">
        <v>35</v>
      </c>
      <c r="C23" s="17" t="s">
        <v>32</v>
      </c>
      <c r="D23" s="9">
        <f>SUMIFS('Detail Transaksi'!H:H, 'Detail Transaksi'!E:E, B23)</f>
        <v>0</v>
      </c>
      <c r="E23" s="9">
        <f>SUMIFS('Detail Transaksi'!I:I, 'Detail Transaksi'!E:E, B23)</f>
        <v>95000000</v>
      </c>
      <c r="F23" s="9">
        <f t="shared" si="1"/>
        <v>95000000</v>
      </c>
      <c r="G23" s="18">
        <f>COUNTIFS('Detail Transaksi'!E:E, B23)</f>
        <v>2</v>
      </c>
      <c r="H23" s="19">
        <f>(D23+E23)/('Ringkasan Eksekutif'!C5+'Ringkasan Eksekutif'!E5)</f>
        <v>1.0317009733470975E-2</v>
      </c>
    </row>
    <row r="24" spans="1:8">
      <c r="A24" s="14">
        <v>5</v>
      </c>
      <c r="B24" s="5" t="s">
        <v>36</v>
      </c>
      <c r="C24" s="14" t="s">
        <v>32</v>
      </c>
      <c r="D24" s="6">
        <f>SUMIFS('Detail Transaksi'!H:H, 'Detail Transaksi'!E:E, B24)</f>
        <v>0</v>
      </c>
      <c r="E24" s="6">
        <f>SUMIFS('Detail Transaksi'!I:I, 'Detail Transaksi'!E:E, B24)</f>
        <v>150897</v>
      </c>
      <c r="F24" s="6">
        <f t="shared" si="1"/>
        <v>150897</v>
      </c>
      <c r="G24" s="15">
        <f>COUNTIFS('Detail Transaksi'!E:E, B24)</f>
        <v>7</v>
      </c>
      <c r="H24" s="16">
        <f>(D24+E24)/('Ringkasan Eksekutif'!C5+'Ringkasan Eksekutif'!E5)</f>
        <v>1.6387429660542839E-5</v>
      </c>
    </row>
    <row r="25" spans="1:8">
      <c r="A25" s="17">
        <v>6</v>
      </c>
      <c r="B25" s="8" t="s">
        <v>37</v>
      </c>
      <c r="C25" s="17" t="s">
        <v>38</v>
      </c>
      <c r="D25" s="9">
        <f>SUMIFS('Detail Transaksi'!H:H, 'Detail Transaksi'!E:E, B25)</f>
        <v>2335445000</v>
      </c>
      <c r="E25" s="9">
        <f>SUMIFS('Detail Transaksi'!I:I, 'Detail Transaksi'!E:E, B25)</f>
        <v>0</v>
      </c>
      <c r="F25" s="9">
        <f t="shared" si="1"/>
        <v>-2335445000</v>
      </c>
      <c r="G25" s="18">
        <f>COUNTIFS('Detail Transaksi'!E:E, B25)</f>
        <v>51</v>
      </c>
      <c r="H25" s="19">
        <f>(D25+E25)/('Ringkasan Eksekutif'!C5+'Ringkasan Eksekutif'!E5)</f>
        <v>0.25362956628406441</v>
      </c>
    </row>
    <row r="26" spans="1:8">
      <c r="A26" s="14">
        <v>7</v>
      </c>
      <c r="B26" s="5" t="s">
        <v>39</v>
      </c>
      <c r="C26" s="14" t="s">
        <v>38</v>
      </c>
      <c r="D26" s="6">
        <f>SUMIFS('Detail Transaksi'!H:H, 'Detail Transaksi'!E:E, B26)</f>
        <v>1716163267.9400001</v>
      </c>
      <c r="E26" s="6">
        <f>SUMIFS('Detail Transaksi'!I:I, 'Detail Transaksi'!E:E, B26)</f>
        <v>0</v>
      </c>
      <c r="F26" s="6">
        <f t="shared" si="1"/>
        <v>-1716163267.9400001</v>
      </c>
      <c r="G26" s="15">
        <f>COUNTIFS('Detail Transaksi'!E:E, B26)</f>
        <v>11</v>
      </c>
      <c r="H26" s="16">
        <f>(D26+E26)/('Ringkasan Eksekutif'!C5+'Ringkasan Eksekutif'!E5)</f>
        <v>0.18637550673223513</v>
      </c>
    </row>
    <row r="27" spans="1:8">
      <c r="A27" s="17">
        <v>8</v>
      </c>
      <c r="B27" s="8" t="s">
        <v>40</v>
      </c>
      <c r="C27" s="17" t="s">
        <v>38</v>
      </c>
      <c r="D27" s="9">
        <f>SUMIFS('Detail Transaksi'!H:H, 'Detail Transaksi'!E:E, B27)</f>
        <v>415328444.52999997</v>
      </c>
      <c r="E27" s="9">
        <f>SUMIFS('Detail Transaksi'!I:I, 'Detail Transaksi'!E:E, B27)</f>
        <v>0</v>
      </c>
      <c r="F27" s="9">
        <f t="shared" si="1"/>
        <v>-415328444.52999997</v>
      </c>
      <c r="G27" s="18">
        <f>COUNTIFS('Detail Transaksi'!E:E, B27)</f>
        <v>12</v>
      </c>
      <c r="H27" s="19">
        <f>(D27+E27)/('Ringkasan Eksekutif'!C5+'Ringkasan Eksekutif'!E5)</f>
        <v>4.5104711629509152E-2</v>
      </c>
    </row>
    <row r="28" spans="1:8">
      <c r="A28" s="14">
        <v>9</v>
      </c>
      <c r="B28" s="5" t="s">
        <v>41</v>
      </c>
      <c r="C28" s="14" t="s">
        <v>38</v>
      </c>
      <c r="D28" s="6">
        <f>SUMIFS('Detail Transaksi'!H:H, 'Detail Transaksi'!E:E, B28)</f>
        <v>50550000</v>
      </c>
      <c r="E28" s="6">
        <f>SUMIFS('Detail Transaksi'!I:I, 'Detail Transaksi'!E:E, B28)</f>
        <v>0</v>
      </c>
      <c r="F28" s="6">
        <f t="shared" si="1"/>
        <v>-50550000</v>
      </c>
      <c r="G28" s="15">
        <f>COUNTIFS('Detail Transaksi'!E:E, B28)</f>
        <v>6</v>
      </c>
      <c r="H28" s="16">
        <f>(D28+E28)/('Ringkasan Eksekutif'!C5+'Ringkasan Eksekutif'!E5)</f>
        <v>5.4897351792311342E-3</v>
      </c>
    </row>
    <row r="29" spans="1:8">
      <c r="A29" s="17">
        <v>10</v>
      </c>
      <c r="B29" s="8" t="s">
        <v>42</v>
      </c>
      <c r="C29" s="17" t="s">
        <v>38</v>
      </c>
      <c r="D29" s="9">
        <f>SUMIFS('Detail Transaksi'!H:H, 'Detail Transaksi'!E:E, B29)</f>
        <v>5400000</v>
      </c>
      <c r="E29" s="9">
        <f>SUMIFS('Detail Transaksi'!I:I, 'Detail Transaksi'!E:E, B29)</f>
        <v>0</v>
      </c>
      <c r="F29" s="9">
        <f t="shared" si="1"/>
        <v>-5400000</v>
      </c>
      <c r="G29" s="18">
        <f>COUNTIFS('Detail Transaksi'!E:E, B29)</f>
        <v>12</v>
      </c>
      <c r="H29" s="19">
        <f>(D29+E29)/('Ringkasan Eksekutif'!C5+'Ringkasan Eksekutif'!E5)</f>
        <v>5.8644055327098168E-4</v>
      </c>
    </row>
    <row r="30" spans="1:8">
      <c r="A30" s="14">
        <v>11</v>
      </c>
      <c r="B30" s="5" t="s">
        <v>43</v>
      </c>
      <c r="C30" s="14" t="s">
        <v>38</v>
      </c>
      <c r="D30" s="6">
        <f>SUMIFS('Detail Transaksi'!H:H, 'Detail Transaksi'!E:E, B30)</f>
        <v>3408418</v>
      </c>
      <c r="E30" s="6">
        <f>SUMIFS('Detail Transaksi'!I:I, 'Detail Transaksi'!E:E, B30)</f>
        <v>0</v>
      </c>
      <c r="F30" s="6">
        <f t="shared" si="1"/>
        <v>-3408418</v>
      </c>
      <c r="G30" s="15">
        <f>COUNTIFS('Detail Transaksi'!E:E, B30)</f>
        <v>1</v>
      </c>
      <c r="H30" s="16">
        <f>(D30+E30)/('Ringkasan Eksekutif'!C5+'Ringkasan Eksekutif'!E5)</f>
        <v>3.7015454401829128E-4</v>
      </c>
    </row>
    <row r="31" spans="1:8">
      <c r="A31" s="17">
        <v>12</v>
      </c>
      <c r="B31" s="8" t="s">
        <v>44</v>
      </c>
      <c r="C31" s="17" t="s">
        <v>38</v>
      </c>
      <c r="D31" s="9">
        <f>SUMIFS('Detail Transaksi'!H:H, 'Detail Transaksi'!E:E, B31)</f>
        <v>550000</v>
      </c>
      <c r="E31" s="9">
        <f>SUMIFS('Detail Transaksi'!I:I, 'Detail Transaksi'!E:E, B31)</f>
        <v>0</v>
      </c>
      <c r="F31" s="9">
        <f t="shared" si="1"/>
        <v>-550000</v>
      </c>
      <c r="G31" s="18">
        <f>COUNTIFS('Detail Transaksi'!E:E, B31)</f>
        <v>1</v>
      </c>
      <c r="H31" s="19">
        <f>(D31+E31)/('Ringkasan Eksekutif'!C5+'Ringkasan Eksekutif'!E5)</f>
        <v>5.9730056351674065E-5</v>
      </c>
    </row>
    <row r="32" spans="1:8">
      <c r="A32" s="14">
        <v>13</v>
      </c>
      <c r="B32" s="5" t="s">
        <v>45</v>
      </c>
      <c r="C32" s="14" t="s">
        <v>38</v>
      </c>
      <c r="D32" s="6">
        <f>SUMIFS('Detail Transaksi'!H:H, 'Detail Transaksi'!E:E, B32)</f>
        <v>370000</v>
      </c>
      <c r="E32" s="6">
        <f>SUMIFS('Detail Transaksi'!I:I, 'Detail Transaksi'!E:E, B32)</f>
        <v>0</v>
      </c>
      <c r="F32" s="6">
        <f t="shared" si="1"/>
        <v>-370000</v>
      </c>
      <c r="G32" s="15">
        <f>COUNTIFS('Detail Transaksi'!E:E, B32)</f>
        <v>56</v>
      </c>
      <c r="H32" s="16">
        <f>(D32+E32)/('Ringkasan Eksekutif'!C5+'Ringkasan Eksekutif'!E5)</f>
        <v>4.0182037909308006E-5</v>
      </c>
    </row>
    <row r="33" spans="1:8">
      <c r="A33" s="17">
        <v>14</v>
      </c>
      <c r="B33" s="8" t="s">
        <v>46</v>
      </c>
      <c r="C33" s="17" t="s">
        <v>38</v>
      </c>
      <c r="D33" s="9">
        <f>SUMIFS('Detail Transaksi'!H:H, 'Detail Transaksi'!E:E, B33)</f>
        <v>30072</v>
      </c>
      <c r="E33" s="9">
        <f>SUMIFS('Detail Transaksi'!I:I, 'Detail Transaksi'!E:E, B33)</f>
        <v>0</v>
      </c>
      <c r="F33" s="9">
        <f t="shared" si="1"/>
        <v>-30072</v>
      </c>
      <c r="G33" s="18">
        <f>COUNTIFS('Detail Transaksi'!E:E, B33)</f>
        <v>6</v>
      </c>
      <c r="H33" s="19">
        <f>(D33+E33)/('Ringkasan Eksekutif'!C5+'Ringkasan Eksekutif'!E5)</f>
        <v>3.2658222811046225E-6</v>
      </c>
    </row>
    <row r="34" spans="1:8">
      <c r="A34" s="20"/>
      <c r="B34" s="11" t="s">
        <v>47</v>
      </c>
      <c r="C34" s="20" t="s">
        <v>48</v>
      </c>
      <c r="D34" s="12">
        <f>SUM(D20:D33)</f>
        <v>4527245202.4700003</v>
      </c>
      <c r="E34" s="12">
        <f>SUM(E20:E33)</f>
        <v>4680849241</v>
      </c>
      <c r="F34" s="12">
        <f t="shared" si="1"/>
        <v>153604038.52999973</v>
      </c>
      <c r="G34" s="13">
        <f>SUM(G20:G33)</f>
        <v>211</v>
      </c>
      <c r="H34" s="21">
        <f>SUM(H20:H33)</f>
        <v>0.99999999999999978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" customWidth="1"/>
    <col min="2" max="2" width="12" customWidth="1"/>
    <col min="3" max="3" width="20" customWidth="1"/>
    <col min="4" max="4" width="18" customWidth="1"/>
    <col min="5" max="5" width="42" customWidth="1"/>
    <col min="6" max="6" width="50" customWidth="1"/>
    <col min="7" max="7" width="12" customWidth="1"/>
    <col min="8" max="10" width="24" customWidth="1"/>
    <col min="11" max="11" width="12" customWidth="1"/>
    <col min="12" max="12" width="13" customWidth="1"/>
  </cols>
  <sheetData>
    <row r="1" spans="1:12" ht="25.5">
      <c r="A1" s="1" t="s">
        <v>49</v>
      </c>
    </row>
    <row r="2" spans="1:12">
      <c r="A2" s="2" t="s">
        <v>50</v>
      </c>
    </row>
    <row r="4" spans="1:12">
      <c r="A4" s="4" t="s">
        <v>24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13</v>
      </c>
      <c r="K4" s="4" t="s">
        <v>59</v>
      </c>
      <c r="L4" s="4" t="s">
        <v>60</v>
      </c>
    </row>
    <row r="5" spans="1:12">
      <c r="A5" s="22">
        <v>1</v>
      </c>
      <c r="B5" s="22" t="s">
        <v>61</v>
      </c>
      <c r="C5" s="22" t="s">
        <v>62</v>
      </c>
      <c r="D5" s="22" t="s">
        <v>63</v>
      </c>
      <c r="E5" s="23" t="s">
        <v>31</v>
      </c>
      <c r="F5" s="23" t="s">
        <v>64</v>
      </c>
      <c r="G5" s="22" t="s">
        <v>65</v>
      </c>
      <c r="H5" s="24">
        <v>0</v>
      </c>
      <c r="I5" s="25">
        <v>97242247</v>
      </c>
      <c r="J5" s="24">
        <v>98615021.469999999</v>
      </c>
      <c r="K5" s="22" t="s">
        <v>66</v>
      </c>
      <c r="L5" s="22" t="s">
        <v>67</v>
      </c>
    </row>
    <row r="6" spans="1:12">
      <c r="A6" s="22">
        <v>2</v>
      </c>
      <c r="B6" s="22" t="s">
        <v>61</v>
      </c>
      <c r="C6" s="22" t="s">
        <v>68</v>
      </c>
      <c r="D6" s="22" t="s">
        <v>63</v>
      </c>
      <c r="E6" s="23" t="s">
        <v>31</v>
      </c>
      <c r="F6" s="23" t="s">
        <v>69</v>
      </c>
      <c r="G6" s="22" t="s">
        <v>65</v>
      </c>
      <c r="H6" s="24">
        <v>0</v>
      </c>
      <c r="I6" s="25">
        <v>117154200</v>
      </c>
      <c r="J6" s="24">
        <v>215769221.47</v>
      </c>
      <c r="K6" s="22" t="s">
        <v>66</v>
      </c>
      <c r="L6" s="22" t="s">
        <v>67</v>
      </c>
    </row>
    <row r="7" spans="1:12">
      <c r="A7" s="14">
        <v>3</v>
      </c>
      <c r="B7" s="14" t="s">
        <v>61</v>
      </c>
      <c r="C7" s="14" t="s">
        <v>70</v>
      </c>
      <c r="D7" s="14" t="s">
        <v>63</v>
      </c>
      <c r="E7" s="5" t="s">
        <v>37</v>
      </c>
      <c r="F7" s="5" t="s">
        <v>71</v>
      </c>
      <c r="G7" s="14" t="s">
        <v>72</v>
      </c>
      <c r="H7" s="26">
        <v>97000000</v>
      </c>
      <c r="I7" s="6">
        <v>0</v>
      </c>
      <c r="J7" s="6">
        <v>118769221.47</v>
      </c>
      <c r="K7" s="14" t="s">
        <v>73</v>
      </c>
      <c r="L7" s="14" t="s">
        <v>74</v>
      </c>
    </row>
    <row r="8" spans="1:12">
      <c r="A8" s="27">
        <v>4</v>
      </c>
      <c r="B8" s="27" t="s">
        <v>61</v>
      </c>
      <c r="C8" s="27" t="s">
        <v>75</v>
      </c>
      <c r="D8" s="27" t="s">
        <v>63</v>
      </c>
      <c r="E8" s="28" t="s">
        <v>37</v>
      </c>
      <c r="F8" s="28" t="s">
        <v>76</v>
      </c>
      <c r="G8" s="27" t="s">
        <v>72</v>
      </c>
      <c r="H8" s="29">
        <v>100000000</v>
      </c>
      <c r="I8" s="30">
        <v>0</v>
      </c>
      <c r="J8" s="30">
        <v>18769221.469999999</v>
      </c>
      <c r="K8" s="27" t="s">
        <v>77</v>
      </c>
      <c r="L8" s="27" t="s">
        <v>74</v>
      </c>
    </row>
    <row r="9" spans="1:12">
      <c r="A9" s="14">
        <v>5</v>
      </c>
      <c r="B9" s="14" t="s">
        <v>61</v>
      </c>
      <c r="C9" s="14" t="s">
        <v>75</v>
      </c>
      <c r="D9" s="14" t="s">
        <v>63</v>
      </c>
      <c r="E9" s="5" t="s">
        <v>45</v>
      </c>
      <c r="F9" s="5" t="s">
        <v>76</v>
      </c>
      <c r="G9" s="14" t="s">
        <v>72</v>
      </c>
      <c r="H9" s="26">
        <v>6500</v>
      </c>
      <c r="I9" s="6">
        <v>0</v>
      </c>
      <c r="J9" s="6">
        <v>18762721.469999999</v>
      </c>
      <c r="K9" s="14" t="s">
        <v>77</v>
      </c>
      <c r="L9" s="14" t="s">
        <v>74</v>
      </c>
    </row>
    <row r="10" spans="1:12">
      <c r="A10" s="17">
        <v>6</v>
      </c>
      <c r="B10" s="17" t="s">
        <v>61</v>
      </c>
      <c r="C10" s="17" t="s">
        <v>78</v>
      </c>
      <c r="D10" s="17" t="s">
        <v>63</v>
      </c>
      <c r="E10" s="8" t="s">
        <v>37</v>
      </c>
      <c r="F10" s="8" t="s">
        <v>79</v>
      </c>
      <c r="G10" s="17" t="s">
        <v>72</v>
      </c>
      <c r="H10" s="31">
        <v>17000000</v>
      </c>
      <c r="I10" s="9">
        <v>0</v>
      </c>
      <c r="J10" s="9">
        <v>1762721.47</v>
      </c>
      <c r="K10" s="17" t="s">
        <v>80</v>
      </c>
      <c r="L10" s="17" t="s">
        <v>74</v>
      </c>
    </row>
    <row r="11" spans="1:12">
      <c r="A11" s="14">
        <v>7</v>
      </c>
      <c r="B11" s="14" t="s">
        <v>61</v>
      </c>
      <c r="C11" s="14" t="s">
        <v>78</v>
      </c>
      <c r="D11" s="14" t="s">
        <v>63</v>
      </c>
      <c r="E11" s="5" t="s">
        <v>45</v>
      </c>
      <c r="F11" s="5" t="s">
        <v>79</v>
      </c>
      <c r="G11" s="14" t="s">
        <v>72</v>
      </c>
      <c r="H11" s="26">
        <v>6500</v>
      </c>
      <c r="I11" s="6">
        <v>0</v>
      </c>
      <c r="J11" s="6">
        <v>1756221.47</v>
      </c>
      <c r="K11" s="14" t="s">
        <v>80</v>
      </c>
      <c r="L11" s="14" t="s">
        <v>74</v>
      </c>
    </row>
    <row r="12" spans="1:12">
      <c r="A12" s="17">
        <v>8</v>
      </c>
      <c r="B12" s="17" t="s">
        <v>61</v>
      </c>
      <c r="C12" s="17" t="s">
        <v>81</v>
      </c>
      <c r="D12" s="17" t="s">
        <v>63</v>
      </c>
      <c r="E12" s="8" t="s">
        <v>31</v>
      </c>
      <c r="F12" s="8" t="s">
        <v>82</v>
      </c>
      <c r="G12" s="17" t="s">
        <v>65</v>
      </c>
      <c r="H12" s="9">
        <v>0</v>
      </c>
      <c r="I12" s="32">
        <v>43461000</v>
      </c>
      <c r="J12" s="9">
        <v>45217221.469999999</v>
      </c>
      <c r="K12" s="17" t="s">
        <v>66</v>
      </c>
      <c r="L12" s="17" t="s">
        <v>67</v>
      </c>
    </row>
    <row r="13" spans="1:12">
      <c r="A13" s="14">
        <v>9</v>
      </c>
      <c r="B13" s="14" t="s">
        <v>61</v>
      </c>
      <c r="C13" s="14" t="s">
        <v>83</v>
      </c>
      <c r="D13" s="14" t="s">
        <v>63</v>
      </c>
      <c r="E13" s="5" t="s">
        <v>37</v>
      </c>
      <c r="F13" s="5" t="s">
        <v>84</v>
      </c>
      <c r="G13" s="14" t="s">
        <v>72</v>
      </c>
      <c r="H13" s="26">
        <v>43000000</v>
      </c>
      <c r="I13" s="6">
        <v>0</v>
      </c>
      <c r="J13" s="6">
        <v>2217221.4700000002</v>
      </c>
      <c r="K13" s="14" t="s">
        <v>80</v>
      </c>
      <c r="L13" s="14" t="s">
        <v>74</v>
      </c>
    </row>
    <row r="14" spans="1:12">
      <c r="A14" s="17">
        <v>10</v>
      </c>
      <c r="B14" s="17" t="s">
        <v>61</v>
      </c>
      <c r="C14" s="17" t="s">
        <v>83</v>
      </c>
      <c r="D14" s="17" t="s">
        <v>63</v>
      </c>
      <c r="E14" s="8" t="s">
        <v>45</v>
      </c>
      <c r="F14" s="8" t="s">
        <v>84</v>
      </c>
      <c r="G14" s="17" t="s">
        <v>72</v>
      </c>
      <c r="H14" s="31">
        <v>6500</v>
      </c>
      <c r="I14" s="9">
        <v>0</v>
      </c>
      <c r="J14" s="9">
        <v>2210721.4700000002</v>
      </c>
      <c r="K14" s="17" t="s">
        <v>80</v>
      </c>
      <c r="L14" s="17" t="s">
        <v>74</v>
      </c>
    </row>
    <row r="15" spans="1:12">
      <c r="A15" s="14">
        <v>11</v>
      </c>
      <c r="B15" s="14" t="s">
        <v>61</v>
      </c>
      <c r="C15" s="14" t="s">
        <v>85</v>
      </c>
      <c r="D15" s="14" t="s">
        <v>63</v>
      </c>
      <c r="E15" s="5" t="s">
        <v>37</v>
      </c>
      <c r="F15" s="5" t="s">
        <v>86</v>
      </c>
      <c r="G15" s="14" t="s">
        <v>72</v>
      </c>
      <c r="H15" s="26">
        <v>1000000</v>
      </c>
      <c r="I15" s="6">
        <v>0</v>
      </c>
      <c r="J15" s="6">
        <v>1210721.47</v>
      </c>
      <c r="K15" s="14" t="s">
        <v>87</v>
      </c>
      <c r="L15" s="14" t="s">
        <v>74</v>
      </c>
    </row>
    <row r="16" spans="1:12">
      <c r="A16" s="17">
        <v>12</v>
      </c>
      <c r="B16" s="17" t="s">
        <v>61</v>
      </c>
      <c r="C16" s="17" t="s">
        <v>85</v>
      </c>
      <c r="D16" s="17" t="s">
        <v>63</v>
      </c>
      <c r="E16" s="8" t="s">
        <v>45</v>
      </c>
      <c r="F16" s="8" t="s">
        <v>86</v>
      </c>
      <c r="G16" s="17" t="s">
        <v>72</v>
      </c>
      <c r="H16" s="31">
        <v>6500</v>
      </c>
      <c r="I16" s="9">
        <v>0</v>
      </c>
      <c r="J16" s="9">
        <v>1204221.47</v>
      </c>
      <c r="K16" s="17" t="s">
        <v>87</v>
      </c>
      <c r="L16" s="17" t="s">
        <v>74</v>
      </c>
    </row>
    <row r="17" spans="1:12">
      <c r="A17" s="22">
        <v>13</v>
      </c>
      <c r="B17" s="22" t="s">
        <v>61</v>
      </c>
      <c r="C17" s="22" t="s">
        <v>88</v>
      </c>
      <c r="D17" s="22" t="s">
        <v>63</v>
      </c>
      <c r="E17" s="23" t="s">
        <v>31</v>
      </c>
      <c r="F17" s="23" t="s">
        <v>69</v>
      </c>
      <c r="G17" s="22" t="s">
        <v>65</v>
      </c>
      <c r="H17" s="24">
        <v>0</v>
      </c>
      <c r="I17" s="25">
        <v>109603000</v>
      </c>
      <c r="J17" s="24">
        <v>110807221.47</v>
      </c>
      <c r="K17" s="22" t="s">
        <v>66</v>
      </c>
      <c r="L17" s="22" t="s">
        <v>67</v>
      </c>
    </row>
    <row r="18" spans="1:12">
      <c r="A18" s="27">
        <v>14</v>
      </c>
      <c r="B18" s="27" t="s">
        <v>61</v>
      </c>
      <c r="C18" s="27" t="s">
        <v>89</v>
      </c>
      <c r="D18" s="27" t="s">
        <v>63</v>
      </c>
      <c r="E18" s="28" t="s">
        <v>37</v>
      </c>
      <c r="F18" s="28" t="s">
        <v>90</v>
      </c>
      <c r="G18" s="27" t="s">
        <v>72</v>
      </c>
      <c r="H18" s="29">
        <v>100000000</v>
      </c>
      <c r="I18" s="30">
        <v>0</v>
      </c>
      <c r="J18" s="30">
        <v>10807221.470000001</v>
      </c>
      <c r="K18" s="27" t="s">
        <v>80</v>
      </c>
      <c r="L18" s="27" t="s">
        <v>74</v>
      </c>
    </row>
    <row r="19" spans="1:12">
      <c r="A19" s="14">
        <v>15</v>
      </c>
      <c r="B19" s="14" t="s">
        <v>61</v>
      </c>
      <c r="C19" s="14" t="s">
        <v>89</v>
      </c>
      <c r="D19" s="14" t="s">
        <v>63</v>
      </c>
      <c r="E19" s="5" t="s">
        <v>45</v>
      </c>
      <c r="F19" s="5" t="s">
        <v>90</v>
      </c>
      <c r="G19" s="14" t="s">
        <v>72</v>
      </c>
      <c r="H19" s="26">
        <v>6500</v>
      </c>
      <c r="I19" s="6">
        <v>0</v>
      </c>
      <c r="J19" s="6">
        <v>10800721.470000001</v>
      </c>
      <c r="K19" s="14" t="s">
        <v>80</v>
      </c>
      <c r="L19" s="14" t="s">
        <v>74</v>
      </c>
    </row>
    <row r="20" spans="1:12">
      <c r="A20" s="17">
        <v>16</v>
      </c>
      <c r="B20" s="17" t="s">
        <v>61</v>
      </c>
      <c r="C20" s="17" t="s">
        <v>91</v>
      </c>
      <c r="D20" s="17" t="s">
        <v>63</v>
      </c>
      <c r="E20" s="8" t="s">
        <v>37</v>
      </c>
      <c r="F20" s="8" t="s">
        <v>92</v>
      </c>
      <c r="G20" s="17" t="s">
        <v>72</v>
      </c>
      <c r="H20" s="31">
        <v>9000000</v>
      </c>
      <c r="I20" s="9">
        <v>0</v>
      </c>
      <c r="J20" s="9">
        <v>1800721.47</v>
      </c>
      <c r="K20" s="17" t="s">
        <v>87</v>
      </c>
      <c r="L20" s="17" t="s">
        <v>74</v>
      </c>
    </row>
    <row r="21" spans="1:12">
      <c r="A21" s="14">
        <v>17</v>
      </c>
      <c r="B21" s="14" t="s">
        <v>61</v>
      </c>
      <c r="C21" s="14" t="s">
        <v>91</v>
      </c>
      <c r="D21" s="14" t="s">
        <v>63</v>
      </c>
      <c r="E21" s="5" t="s">
        <v>45</v>
      </c>
      <c r="F21" s="5" t="s">
        <v>92</v>
      </c>
      <c r="G21" s="14" t="s">
        <v>72</v>
      </c>
      <c r="H21" s="26">
        <v>6500</v>
      </c>
      <c r="I21" s="6">
        <v>0</v>
      </c>
      <c r="J21" s="6">
        <v>1794221.47</v>
      </c>
      <c r="K21" s="14" t="s">
        <v>87</v>
      </c>
      <c r="L21" s="14" t="s">
        <v>74</v>
      </c>
    </row>
    <row r="22" spans="1:12">
      <c r="A22" s="17">
        <v>18</v>
      </c>
      <c r="B22" s="17" t="s">
        <v>61</v>
      </c>
      <c r="C22" s="17" t="s">
        <v>93</v>
      </c>
      <c r="D22" s="17" t="s">
        <v>63</v>
      </c>
      <c r="E22" s="8" t="s">
        <v>35</v>
      </c>
      <c r="F22" s="8" t="s">
        <v>94</v>
      </c>
      <c r="G22" s="17" t="s">
        <v>65</v>
      </c>
      <c r="H22" s="9">
        <v>0</v>
      </c>
      <c r="I22" s="32">
        <v>40000000</v>
      </c>
      <c r="J22" s="9">
        <v>41794221.469999999</v>
      </c>
      <c r="K22" s="17" t="s">
        <v>95</v>
      </c>
      <c r="L22" s="17" t="s">
        <v>96</v>
      </c>
    </row>
    <row r="23" spans="1:12">
      <c r="A23" s="14">
        <v>19</v>
      </c>
      <c r="B23" s="14" t="s">
        <v>61</v>
      </c>
      <c r="C23" s="14" t="s">
        <v>97</v>
      </c>
      <c r="D23" s="14" t="s">
        <v>63</v>
      </c>
      <c r="E23" s="5" t="s">
        <v>39</v>
      </c>
      <c r="F23" s="5" t="s">
        <v>98</v>
      </c>
      <c r="G23" s="14" t="s">
        <v>72</v>
      </c>
      <c r="H23" s="26">
        <v>41794221.469999999</v>
      </c>
      <c r="I23" s="6">
        <v>0</v>
      </c>
      <c r="J23" s="6">
        <v>0</v>
      </c>
      <c r="K23" s="14" t="s">
        <v>99</v>
      </c>
      <c r="L23" s="14" t="s">
        <v>100</v>
      </c>
    </row>
    <row r="24" spans="1:12">
      <c r="A24" s="17">
        <v>20</v>
      </c>
      <c r="B24" s="17" t="s">
        <v>61</v>
      </c>
      <c r="C24" s="17" t="s">
        <v>101</v>
      </c>
      <c r="D24" s="17" t="s">
        <v>63</v>
      </c>
      <c r="E24" s="8" t="s">
        <v>34</v>
      </c>
      <c r="F24" s="8" t="s">
        <v>102</v>
      </c>
      <c r="G24" s="17" t="s">
        <v>65</v>
      </c>
      <c r="H24" s="9">
        <v>0</v>
      </c>
      <c r="I24" s="32">
        <v>5000000</v>
      </c>
      <c r="J24" s="9">
        <v>5000000</v>
      </c>
      <c r="K24" s="17" t="s">
        <v>103</v>
      </c>
      <c r="L24" s="17" t="s">
        <v>96</v>
      </c>
    </row>
    <row r="25" spans="1:12">
      <c r="A25" s="14">
        <v>21</v>
      </c>
      <c r="B25" s="14" t="s">
        <v>61</v>
      </c>
      <c r="C25" s="14" t="s">
        <v>104</v>
      </c>
      <c r="D25" s="14" t="s">
        <v>63</v>
      </c>
      <c r="E25" s="5" t="s">
        <v>40</v>
      </c>
      <c r="F25" s="5" t="s">
        <v>105</v>
      </c>
      <c r="G25" s="14" t="s">
        <v>72</v>
      </c>
      <c r="H25" s="26">
        <v>5000000</v>
      </c>
      <c r="I25" s="6">
        <v>0</v>
      </c>
      <c r="J25" s="6">
        <v>0</v>
      </c>
      <c r="K25" s="14" t="s">
        <v>106</v>
      </c>
      <c r="L25" s="14" t="s">
        <v>107</v>
      </c>
    </row>
    <row r="26" spans="1:12">
      <c r="A26" s="17">
        <v>22</v>
      </c>
      <c r="B26" s="17" t="s">
        <v>61</v>
      </c>
      <c r="C26" s="17" t="s">
        <v>108</v>
      </c>
      <c r="D26" s="17" t="s">
        <v>63</v>
      </c>
      <c r="E26" s="8" t="s">
        <v>34</v>
      </c>
      <c r="F26" s="8" t="s">
        <v>109</v>
      </c>
      <c r="G26" s="17" t="s">
        <v>65</v>
      </c>
      <c r="H26" s="9">
        <v>0</v>
      </c>
      <c r="I26" s="32">
        <v>2500000</v>
      </c>
      <c r="J26" s="9">
        <v>2500000</v>
      </c>
      <c r="K26" s="17" t="s">
        <v>110</v>
      </c>
      <c r="L26" s="17" t="s">
        <v>96</v>
      </c>
    </row>
    <row r="27" spans="1:12">
      <c r="A27" s="14">
        <v>23</v>
      </c>
      <c r="B27" s="14" t="s">
        <v>61</v>
      </c>
      <c r="C27" s="14" t="s">
        <v>111</v>
      </c>
      <c r="D27" s="14" t="s">
        <v>63</v>
      </c>
      <c r="E27" s="5" t="s">
        <v>40</v>
      </c>
      <c r="F27" s="5" t="s">
        <v>105</v>
      </c>
      <c r="G27" s="14" t="s">
        <v>72</v>
      </c>
      <c r="H27" s="26">
        <v>2500000</v>
      </c>
      <c r="I27" s="6">
        <v>0</v>
      </c>
      <c r="J27" s="6">
        <v>0</v>
      </c>
      <c r="K27" s="14" t="s">
        <v>106</v>
      </c>
      <c r="L27" s="14" t="s">
        <v>107</v>
      </c>
    </row>
    <row r="28" spans="1:12">
      <c r="A28" s="17">
        <v>24</v>
      </c>
      <c r="B28" s="17" t="s">
        <v>61</v>
      </c>
      <c r="C28" s="17" t="s">
        <v>112</v>
      </c>
      <c r="D28" s="17" t="s">
        <v>63</v>
      </c>
      <c r="E28" s="8" t="s">
        <v>34</v>
      </c>
      <c r="F28" s="8" t="s">
        <v>113</v>
      </c>
      <c r="G28" s="17" t="s">
        <v>65</v>
      </c>
      <c r="H28" s="9">
        <v>0</v>
      </c>
      <c r="I28" s="32">
        <v>5000000</v>
      </c>
      <c r="J28" s="9">
        <v>5000000</v>
      </c>
      <c r="K28" s="17" t="s">
        <v>114</v>
      </c>
      <c r="L28" s="17" t="s">
        <v>96</v>
      </c>
    </row>
    <row r="29" spans="1:12">
      <c r="A29" s="14">
        <v>25</v>
      </c>
      <c r="B29" s="14" t="s">
        <v>61</v>
      </c>
      <c r="C29" s="14" t="s">
        <v>115</v>
      </c>
      <c r="D29" s="14" t="s">
        <v>63</v>
      </c>
      <c r="E29" s="5" t="s">
        <v>40</v>
      </c>
      <c r="F29" s="5" t="s">
        <v>105</v>
      </c>
      <c r="G29" s="14" t="s">
        <v>72</v>
      </c>
      <c r="H29" s="26">
        <v>515341.53</v>
      </c>
      <c r="I29" s="6">
        <v>0</v>
      </c>
      <c r="J29" s="6">
        <v>4484658.47</v>
      </c>
      <c r="K29" s="14" t="s">
        <v>106</v>
      </c>
      <c r="L29" s="14" t="s">
        <v>107</v>
      </c>
    </row>
    <row r="30" spans="1:12">
      <c r="A30" s="17">
        <v>26</v>
      </c>
      <c r="B30" s="17" t="s">
        <v>61</v>
      </c>
      <c r="C30" s="17" t="s">
        <v>116</v>
      </c>
      <c r="D30" s="17" t="s">
        <v>63</v>
      </c>
      <c r="E30" s="8" t="s">
        <v>36</v>
      </c>
      <c r="F30" s="8" t="s">
        <v>117</v>
      </c>
      <c r="G30" s="17" t="s">
        <v>65</v>
      </c>
      <c r="H30" s="9">
        <v>0</v>
      </c>
      <c r="I30" s="32">
        <v>1718</v>
      </c>
      <c r="J30" s="9">
        <v>4486376.47</v>
      </c>
      <c r="K30" s="17" t="s">
        <v>48</v>
      </c>
      <c r="L30" s="17" t="s">
        <v>118</v>
      </c>
    </row>
    <row r="31" spans="1:12">
      <c r="A31" s="14">
        <v>27</v>
      </c>
      <c r="B31" s="14" t="s">
        <v>61</v>
      </c>
      <c r="C31" s="14" t="s">
        <v>116</v>
      </c>
      <c r="D31" s="14" t="s">
        <v>63</v>
      </c>
      <c r="E31" s="5" t="s">
        <v>45</v>
      </c>
      <c r="F31" s="5" t="s">
        <v>119</v>
      </c>
      <c r="G31" s="14" t="s">
        <v>72</v>
      </c>
      <c r="H31" s="26">
        <v>35000</v>
      </c>
      <c r="I31" s="6">
        <v>0</v>
      </c>
      <c r="J31" s="6">
        <v>4451376.47</v>
      </c>
      <c r="K31" s="14" t="s">
        <v>48</v>
      </c>
      <c r="L31" s="14" t="s">
        <v>120</v>
      </c>
    </row>
    <row r="32" spans="1:12">
      <c r="A32" s="17">
        <v>28</v>
      </c>
      <c r="B32" s="17" t="s">
        <v>61</v>
      </c>
      <c r="C32" s="17" t="s">
        <v>116</v>
      </c>
      <c r="D32" s="17" t="s">
        <v>63</v>
      </c>
      <c r="E32" s="8" t="s">
        <v>45</v>
      </c>
      <c r="F32" s="8" t="s">
        <v>121</v>
      </c>
      <c r="G32" s="17" t="s">
        <v>72</v>
      </c>
      <c r="H32" s="31">
        <v>1500</v>
      </c>
      <c r="I32" s="9">
        <v>0</v>
      </c>
      <c r="J32" s="9">
        <v>4449876.47</v>
      </c>
      <c r="K32" s="17" t="s">
        <v>48</v>
      </c>
      <c r="L32" s="17" t="s">
        <v>122</v>
      </c>
    </row>
    <row r="33" spans="1:12">
      <c r="A33" s="14">
        <v>29</v>
      </c>
      <c r="B33" s="14" t="s">
        <v>61</v>
      </c>
      <c r="C33" s="14" t="s">
        <v>116</v>
      </c>
      <c r="D33" s="14" t="s">
        <v>63</v>
      </c>
      <c r="E33" s="5" t="s">
        <v>46</v>
      </c>
      <c r="F33" s="5" t="s">
        <v>123</v>
      </c>
      <c r="G33" s="14" t="s">
        <v>72</v>
      </c>
      <c r="H33" s="26">
        <v>344</v>
      </c>
      <c r="I33" s="6">
        <v>0</v>
      </c>
      <c r="J33" s="6">
        <v>4449532.47</v>
      </c>
      <c r="K33" s="14" t="s">
        <v>48</v>
      </c>
      <c r="L33" s="14" t="s">
        <v>124</v>
      </c>
    </row>
    <row r="34" spans="1:12">
      <c r="A34" s="17">
        <v>30</v>
      </c>
      <c r="B34" s="17" t="s">
        <v>61</v>
      </c>
      <c r="C34" s="17" t="s">
        <v>125</v>
      </c>
      <c r="D34" s="17" t="s">
        <v>63</v>
      </c>
      <c r="E34" s="8" t="s">
        <v>39</v>
      </c>
      <c r="F34" s="8" t="s">
        <v>126</v>
      </c>
      <c r="G34" s="17" t="s">
        <v>72</v>
      </c>
      <c r="H34" s="31">
        <v>1032844</v>
      </c>
      <c r="I34" s="9">
        <v>0</v>
      </c>
      <c r="J34" s="9">
        <v>3416688.47</v>
      </c>
      <c r="K34" s="17" t="s">
        <v>127</v>
      </c>
      <c r="L34" s="17" t="s">
        <v>100</v>
      </c>
    </row>
    <row r="35" spans="1:12">
      <c r="A35" s="14">
        <v>31</v>
      </c>
      <c r="B35" s="14" t="s">
        <v>61</v>
      </c>
      <c r="C35" s="14" t="s">
        <v>128</v>
      </c>
      <c r="D35" s="14" t="s">
        <v>63</v>
      </c>
      <c r="E35" s="5" t="s">
        <v>39</v>
      </c>
      <c r="F35" s="5" t="s">
        <v>129</v>
      </c>
      <c r="G35" s="14" t="s">
        <v>72</v>
      </c>
      <c r="H35" s="26">
        <v>3416688</v>
      </c>
      <c r="I35" s="6">
        <v>0</v>
      </c>
      <c r="J35" s="6">
        <v>0.47</v>
      </c>
      <c r="K35" s="14" t="s">
        <v>130</v>
      </c>
      <c r="L35" s="14" t="s">
        <v>100</v>
      </c>
    </row>
    <row r="36" spans="1:12">
      <c r="A36" s="22">
        <v>32</v>
      </c>
      <c r="B36" s="22" t="s">
        <v>61</v>
      </c>
      <c r="C36" s="22" t="s">
        <v>131</v>
      </c>
      <c r="D36" s="22" t="s">
        <v>63</v>
      </c>
      <c r="E36" s="23" t="s">
        <v>31</v>
      </c>
      <c r="F36" s="23" t="s">
        <v>132</v>
      </c>
      <c r="G36" s="22" t="s">
        <v>65</v>
      </c>
      <c r="H36" s="24">
        <v>0</v>
      </c>
      <c r="I36" s="25">
        <v>53153200</v>
      </c>
      <c r="J36" s="24">
        <v>53153200.469999999</v>
      </c>
      <c r="K36" s="22" t="s">
        <v>66</v>
      </c>
      <c r="L36" s="22" t="s">
        <v>67</v>
      </c>
    </row>
    <row r="37" spans="1:12">
      <c r="A37" s="14">
        <v>33</v>
      </c>
      <c r="B37" s="14" t="s">
        <v>61</v>
      </c>
      <c r="C37" s="14" t="s">
        <v>133</v>
      </c>
      <c r="D37" s="14" t="s">
        <v>63</v>
      </c>
      <c r="E37" s="5" t="s">
        <v>37</v>
      </c>
      <c r="F37" s="5" t="s">
        <v>134</v>
      </c>
      <c r="G37" s="14" t="s">
        <v>72</v>
      </c>
      <c r="H37" s="26">
        <v>52000000</v>
      </c>
      <c r="I37" s="6">
        <v>0</v>
      </c>
      <c r="J37" s="6">
        <v>1153200.47</v>
      </c>
      <c r="K37" s="14" t="s">
        <v>135</v>
      </c>
      <c r="L37" s="14" t="s">
        <v>74</v>
      </c>
    </row>
    <row r="38" spans="1:12">
      <c r="A38" s="17">
        <v>34</v>
      </c>
      <c r="B38" s="17" t="s">
        <v>61</v>
      </c>
      <c r="C38" s="17" t="s">
        <v>133</v>
      </c>
      <c r="D38" s="17" t="s">
        <v>63</v>
      </c>
      <c r="E38" s="8" t="s">
        <v>45</v>
      </c>
      <c r="F38" s="8" t="s">
        <v>134</v>
      </c>
      <c r="G38" s="17" t="s">
        <v>72</v>
      </c>
      <c r="H38" s="31">
        <v>6500</v>
      </c>
      <c r="I38" s="9">
        <v>0</v>
      </c>
      <c r="J38" s="9">
        <v>1146700.47</v>
      </c>
      <c r="K38" s="17" t="s">
        <v>135</v>
      </c>
      <c r="L38" s="17" t="s">
        <v>74</v>
      </c>
    </row>
    <row r="39" spans="1:12">
      <c r="A39" s="14">
        <v>35</v>
      </c>
      <c r="B39" s="14" t="s">
        <v>136</v>
      </c>
      <c r="C39" s="14" t="s">
        <v>137</v>
      </c>
      <c r="D39" s="14" t="s">
        <v>63</v>
      </c>
      <c r="E39" s="5" t="s">
        <v>31</v>
      </c>
      <c r="F39" s="5" t="s">
        <v>138</v>
      </c>
      <c r="G39" s="14" t="s">
        <v>65</v>
      </c>
      <c r="H39" s="6">
        <v>0</v>
      </c>
      <c r="I39" s="33">
        <v>21589166</v>
      </c>
      <c r="J39" s="6">
        <v>22735866.469999999</v>
      </c>
      <c r="K39" s="14" t="s">
        <v>66</v>
      </c>
      <c r="L39" s="14" t="s">
        <v>67</v>
      </c>
    </row>
    <row r="40" spans="1:12">
      <c r="A40" s="22">
        <v>36</v>
      </c>
      <c r="B40" s="22" t="s">
        <v>136</v>
      </c>
      <c r="C40" s="22" t="s">
        <v>139</v>
      </c>
      <c r="D40" s="22" t="s">
        <v>63</v>
      </c>
      <c r="E40" s="23" t="s">
        <v>31</v>
      </c>
      <c r="F40" s="23" t="s">
        <v>69</v>
      </c>
      <c r="G40" s="22" t="s">
        <v>65</v>
      </c>
      <c r="H40" s="24">
        <v>0</v>
      </c>
      <c r="I40" s="25">
        <v>201570700</v>
      </c>
      <c r="J40" s="24">
        <v>224306566.47</v>
      </c>
      <c r="K40" s="22" t="s">
        <v>66</v>
      </c>
      <c r="L40" s="22" t="s">
        <v>67</v>
      </c>
    </row>
    <row r="41" spans="1:12">
      <c r="A41" s="27">
        <v>37</v>
      </c>
      <c r="B41" s="27" t="s">
        <v>136</v>
      </c>
      <c r="C41" s="27" t="s">
        <v>140</v>
      </c>
      <c r="D41" s="27" t="s">
        <v>63</v>
      </c>
      <c r="E41" s="28" t="s">
        <v>37</v>
      </c>
      <c r="F41" s="28" t="s">
        <v>141</v>
      </c>
      <c r="G41" s="27" t="s">
        <v>72</v>
      </c>
      <c r="H41" s="29">
        <v>100000000</v>
      </c>
      <c r="I41" s="30">
        <v>0</v>
      </c>
      <c r="J41" s="30">
        <v>124306566.47</v>
      </c>
      <c r="K41" s="27" t="s">
        <v>73</v>
      </c>
      <c r="L41" s="27" t="s">
        <v>74</v>
      </c>
    </row>
    <row r="42" spans="1:12">
      <c r="A42" s="27">
        <v>38</v>
      </c>
      <c r="B42" s="27" t="s">
        <v>136</v>
      </c>
      <c r="C42" s="27" t="s">
        <v>142</v>
      </c>
      <c r="D42" s="27" t="s">
        <v>63</v>
      </c>
      <c r="E42" s="28" t="s">
        <v>37</v>
      </c>
      <c r="F42" s="28" t="s">
        <v>143</v>
      </c>
      <c r="G42" s="27" t="s">
        <v>72</v>
      </c>
      <c r="H42" s="29">
        <v>100000000</v>
      </c>
      <c r="I42" s="30">
        <v>0</v>
      </c>
      <c r="J42" s="30">
        <v>24306566.469999999</v>
      </c>
      <c r="K42" s="27" t="s">
        <v>77</v>
      </c>
      <c r="L42" s="27" t="s">
        <v>74</v>
      </c>
    </row>
    <row r="43" spans="1:12">
      <c r="A43" s="14">
        <v>39</v>
      </c>
      <c r="B43" s="14" t="s">
        <v>136</v>
      </c>
      <c r="C43" s="14" t="s">
        <v>142</v>
      </c>
      <c r="D43" s="14" t="s">
        <v>63</v>
      </c>
      <c r="E43" s="5" t="s">
        <v>45</v>
      </c>
      <c r="F43" s="5" t="s">
        <v>143</v>
      </c>
      <c r="G43" s="14" t="s">
        <v>72</v>
      </c>
      <c r="H43" s="26">
        <v>6500</v>
      </c>
      <c r="I43" s="6">
        <v>0</v>
      </c>
      <c r="J43" s="6">
        <v>24300066.469999999</v>
      </c>
      <c r="K43" s="14" t="s">
        <v>77</v>
      </c>
      <c r="L43" s="14" t="s">
        <v>74</v>
      </c>
    </row>
    <row r="44" spans="1:12">
      <c r="A44" s="17">
        <v>40</v>
      </c>
      <c r="B44" s="17" t="s">
        <v>136</v>
      </c>
      <c r="C44" s="17" t="s">
        <v>144</v>
      </c>
      <c r="D44" s="17" t="s">
        <v>63</v>
      </c>
      <c r="E44" s="8" t="s">
        <v>37</v>
      </c>
      <c r="F44" s="8" t="s">
        <v>145</v>
      </c>
      <c r="G44" s="17" t="s">
        <v>72</v>
      </c>
      <c r="H44" s="31">
        <v>23000000</v>
      </c>
      <c r="I44" s="9">
        <v>0</v>
      </c>
      <c r="J44" s="9">
        <v>1300066.47</v>
      </c>
      <c r="K44" s="17" t="s">
        <v>146</v>
      </c>
      <c r="L44" s="17" t="s">
        <v>74</v>
      </c>
    </row>
    <row r="45" spans="1:12">
      <c r="A45" s="14">
        <v>41</v>
      </c>
      <c r="B45" s="14" t="s">
        <v>136</v>
      </c>
      <c r="C45" s="14" t="s">
        <v>144</v>
      </c>
      <c r="D45" s="14" t="s">
        <v>63</v>
      </c>
      <c r="E45" s="5" t="s">
        <v>45</v>
      </c>
      <c r="F45" s="5" t="s">
        <v>145</v>
      </c>
      <c r="G45" s="14" t="s">
        <v>72</v>
      </c>
      <c r="H45" s="26">
        <v>6500</v>
      </c>
      <c r="I45" s="6">
        <v>0</v>
      </c>
      <c r="J45" s="6">
        <v>1293566.47</v>
      </c>
      <c r="K45" s="14" t="s">
        <v>146</v>
      </c>
      <c r="L45" s="14" t="s">
        <v>74</v>
      </c>
    </row>
    <row r="46" spans="1:12">
      <c r="A46" s="17">
        <v>42</v>
      </c>
      <c r="B46" s="17" t="s">
        <v>136</v>
      </c>
      <c r="C46" s="17" t="s">
        <v>147</v>
      </c>
      <c r="D46" s="17" t="s">
        <v>63</v>
      </c>
      <c r="E46" s="8" t="s">
        <v>31</v>
      </c>
      <c r="F46" s="8" t="s">
        <v>148</v>
      </c>
      <c r="G46" s="17" t="s">
        <v>65</v>
      </c>
      <c r="H46" s="9">
        <v>0</v>
      </c>
      <c r="I46" s="32">
        <v>28457200</v>
      </c>
      <c r="J46" s="9">
        <v>29750766.469999999</v>
      </c>
      <c r="K46" s="17" t="s">
        <v>66</v>
      </c>
      <c r="L46" s="17" t="s">
        <v>67</v>
      </c>
    </row>
    <row r="47" spans="1:12">
      <c r="A47" s="14">
        <v>43</v>
      </c>
      <c r="B47" s="14" t="s">
        <v>136</v>
      </c>
      <c r="C47" s="14" t="s">
        <v>149</v>
      </c>
      <c r="D47" s="14" t="s">
        <v>63</v>
      </c>
      <c r="E47" s="5" t="s">
        <v>37</v>
      </c>
      <c r="F47" s="5" t="s">
        <v>150</v>
      </c>
      <c r="G47" s="14" t="s">
        <v>72</v>
      </c>
      <c r="H47" s="26">
        <v>28750000</v>
      </c>
      <c r="I47" s="6">
        <v>0</v>
      </c>
      <c r="J47" s="6">
        <v>1000766.47</v>
      </c>
      <c r="K47" s="14" t="s">
        <v>135</v>
      </c>
      <c r="L47" s="14" t="s">
        <v>74</v>
      </c>
    </row>
    <row r="48" spans="1:12">
      <c r="A48" s="17">
        <v>44</v>
      </c>
      <c r="B48" s="17" t="s">
        <v>136</v>
      </c>
      <c r="C48" s="17" t="s">
        <v>149</v>
      </c>
      <c r="D48" s="17" t="s">
        <v>63</v>
      </c>
      <c r="E48" s="8" t="s">
        <v>45</v>
      </c>
      <c r="F48" s="8" t="s">
        <v>150</v>
      </c>
      <c r="G48" s="17" t="s">
        <v>72</v>
      </c>
      <c r="H48" s="31">
        <v>6500</v>
      </c>
      <c r="I48" s="9">
        <v>0</v>
      </c>
      <c r="J48" s="9">
        <v>994266.47</v>
      </c>
      <c r="K48" s="17" t="s">
        <v>135</v>
      </c>
      <c r="L48" s="17" t="s">
        <v>74</v>
      </c>
    </row>
    <row r="49" spans="1:12">
      <c r="A49" s="22">
        <v>45</v>
      </c>
      <c r="B49" s="22" t="s">
        <v>136</v>
      </c>
      <c r="C49" s="22" t="s">
        <v>151</v>
      </c>
      <c r="D49" s="22" t="s">
        <v>63</v>
      </c>
      <c r="E49" s="23" t="s">
        <v>31</v>
      </c>
      <c r="F49" s="23" t="s">
        <v>152</v>
      </c>
      <c r="G49" s="22" t="s">
        <v>65</v>
      </c>
      <c r="H49" s="24">
        <v>0</v>
      </c>
      <c r="I49" s="25">
        <v>100089000</v>
      </c>
      <c r="J49" s="24">
        <v>101083266.47</v>
      </c>
      <c r="K49" s="22" t="s">
        <v>66</v>
      </c>
      <c r="L49" s="22" t="s">
        <v>67</v>
      </c>
    </row>
    <row r="50" spans="1:12">
      <c r="A50" s="22">
        <v>46</v>
      </c>
      <c r="B50" s="22" t="s">
        <v>136</v>
      </c>
      <c r="C50" s="22" t="s">
        <v>153</v>
      </c>
      <c r="D50" s="22" t="s">
        <v>63</v>
      </c>
      <c r="E50" s="23" t="s">
        <v>31</v>
      </c>
      <c r="F50" s="23" t="s">
        <v>154</v>
      </c>
      <c r="G50" s="22" t="s">
        <v>65</v>
      </c>
      <c r="H50" s="24">
        <v>0</v>
      </c>
      <c r="I50" s="25">
        <v>174810400</v>
      </c>
      <c r="J50" s="24">
        <v>275893666.47000003</v>
      </c>
      <c r="K50" s="22" t="s">
        <v>66</v>
      </c>
      <c r="L50" s="22" t="s">
        <v>67</v>
      </c>
    </row>
    <row r="51" spans="1:12">
      <c r="A51" s="27">
        <v>47</v>
      </c>
      <c r="B51" s="27" t="s">
        <v>136</v>
      </c>
      <c r="C51" s="27" t="s">
        <v>155</v>
      </c>
      <c r="D51" s="27" t="s">
        <v>63</v>
      </c>
      <c r="E51" s="28" t="s">
        <v>37</v>
      </c>
      <c r="F51" s="28" t="s">
        <v>156</v>
      </c>
      <c r="G51" s="27" t="s">
        <v>72</v>
      </c>
      <c r="H51" s="29">
        <v>100000000</v>
      </c>
      <c r="I51" s="30">
        <v>0</v>
      </c>
      <c r="J51" s="30">
        <v>175893666.47</v>
      </c>
      <c r="K51" s="27" t="s">
        <v>77</v>
      </c>
      <c r="L51" s="27" t="s">
        <v>74</v>
      </c>
    </row>
    <row r="52" spans="1:12">
      <c r="A52" s="17">
        <v>48</v>
      </c>
      <c r="B52" s="17" t="s">
        <v>136</v>
      </c>
      <c r="C52" s="17" t="s">
        <v>155</v>
      </c>
      <c r="D52" s="17" t="s">
        <v>63</v>
      </c>
      <c r="E52" s="8" t="s">
        <v>37</v>
      </c>
      <c r="F52" s="8" t="s">
        <v>156</v>
      </c>
      <c r="G52" s="17" t="s">
        <v>72</v>
      </c>
      <c r="H52" s="31">
        <v>2500</v>
      </c>
      <c r="I52" s="9">
        <v>0</v>
      </c>
      <c r="J52" s="9">
        <v>175891166.47</v>
      </c>
      <c r="K52" s="17" t="s">
        <v>77</v>
      </c>
      <c r="L52" s="17" t="s">
        <v>74</v>
      </c>
    </row>
    <row r="53" spans="1:12">
      <c r="A53" s="27">
        <v>49</v>
      </c>
      <c r="B53" s="27" t="s">
        <v>136</v>
      </c>
      <c r="C53" s="27" t="s">
        <v>157</v>
      </c>
      <c r="D53" s="27" t="s">
        <v>63</v>
      </c>
      <c r="E53" s="28" t="s">
        <v>37</v>
      </c>
      <c r="F53" s="28" t="s">
        <v>158</v>
      </c>
      <c r="G53" s="27" t="s">
        <v>72</v>
      </c>
      <c r="H53" s="29">
        <v>100000000</v>
      </c>
      <c r="I53" s="30">
        <v>0</v>
      </c>
      <c r="J53" s="30">
        <v>75891166.469999999</v>
      </c>
      <c r="K53" s="27" t="s">
        <v>159</v>
      </c>
      <c r="L53" s="27" t="s">
        <v>74</v>
      </c>
    </row>
    <row r="54" spans="1:12">
      <c r="A54" s="17">
        <v>50</v>
      </c>
      <c r="B54" s="17" t="s">
        <v>136</v>
      </c>
      <c r="C54" s="17" t="s">
        <v>157</v>
      </c>
      <c r="D54" s="17" t="s">
        <v>63</v>
      </c>
      <c r="E54" s="8" t="s">
        <v>37</v>
      </c>
      <c r="F54" s="8" t="s">
        <v>158</v>
      </c>
      <c r="G54" s="17" t="s">
        <v>72</v>
      </c>
      <c r="H54" s="31">
        <v>2500</v>
      </c>
      <c r="I54" s="9">
        <v>0</v>
      </c>
      <c r="J54" s="9">
        <v>75888666.469999999</v>
      </c>
      <c r="K54" s="17" t="s">
        <v>159</v>
      </c>
      <c r="L54" s="17" t="s">
        <v>74</v>
      </c>
    </row>
    <row r="55" spans="1:12">
      <c r="A55" s="14">
        <v>51</v>
      </c>
      <c r="B55" s="14" t="s">
        <v>136</v>
      </c>
      <c r="C55" s="14" t="s">
        <v>160</v>
      </c>
      <c r="D55" s="14" t="s">
        <v>63</v>
      </c>
      <c r="E55" s="5" t="s">
        <v>37</v>
      </c>
      <c r="F55" s="5" t="s">
        <v>161</v>
      </c>
      <c r="G55" s="14" t="s">
        <v>72</v>
      </c>
      <c r="H55" s="26">
        <v>6000000</v>
      </c>
      <c r="I55" s="6">
        <v>0</v>
      </c>
      <c r="J55" s="6">
        <v>69888666.469999999</v>
      </c>
      <c r="K55" s="14" t="s">
        <v>87</v>
      </c>
      <c r="L55" s="14" t="s">
        <v>74</v>
      </c>
    </row>
    <row r="56" spans="1:12">
      <c r="A56" s="17">
        <v>52</v>
      </c>
      <c r="B56" s="17" t="s">
        <v>136</v>
      </c>
      <c r="C56" s="17" t="s">
        <v>160</v>
      </c>
      <c r="D56" s="17" t="s">
        <v>63</v>
      </c>
      <c r="E56" s="8" t="s">
        <v>37</v>
      </c>
      <c r="F56" s="8" t="s">
        <v>161</v>
      </c>
      <c r="G56" s="17" t="s">
        <v>72</v>
      </c>
      <c r="H56" s="31">
        <v>2500</v>
      </c>
      <c r="I56" s="9">
        <v>0</v>
      </c>
      <c r="J56" s="9">
        <v>69886166.469999999</v>
      </c>
      <c r="K56" s="17" t="s">
        <v>87</v>
      </c>
      <c r="L56" s="17" t="s">
        <v>74</v>
      </c>
    </row>
    <row r="57" spans="1:12">
      <c r="A57" s="14">
        <v>53</v>
      </c>
      <c r="B57" s="14" t="s">
        <v>136</v>
      </c>
      <c r="C57" s="14" t="s">
        <v>162</v>
      </c>
      <c r="D57" s="14" t="s">
        <v>63</v>
      </c>
      <c r="E57" s="5" t="s">
        <v>37</v>
      </c>
      <c r="F57" s="5" t="s">
        <v>163</v>
      </c>
      <c r="G57" s="14" t="s">
        <v>72</v>
      </c>
      <c r="H57" s="26">
        <v>20500000</v>
      </c>
      <c r="I57" s="6">
        <v>0</v>
      </c>
      <c r="J57" s="6">
        <v>49386166.469999999</v>
      </c>
      <c r="K57" s="14" t="s">
        <v>80</v>
      </c>
      <c r="L57" s="14" t="s">
        <v>74</v>
      </c>
    </row>
    <row r="58" spans="1:12">
      <c r="A58" s="17">
        <v>54</v>
      </c>
      <c r="B58" s="17" t="s">
        <v>136</v>
      </c>
      <c r="C58" s="17" t="s">
        <v>162</v>
      </c>
      <c r="D58" s="17" t="s">
        <v>63</v>
      </c>
      <c r="E58" s="8" t="s">
        <v>37</v>
      </c>
      <c r="F58" s="8" t="s">
        <v>163</v>
      </c>
      <c r="G58" s="17" t="s">
        <v>72</v>
      </c>
      <c r="H58" s="31">
        <v>2500</v>
      </c>
      <c r="I58" s="9">
        <v>0</v>
      </c>
      <c r="J58" s="9">
        <v>49383666.469999999</v>
      </c>
      <c r="K58" s="17" t="s">
        <v>80</v>
      </c>
      <c r="L58" s="17" t="s">
        <v>74</v>
      </c>
    </row>
    <row r="59" spans="1:12">
      <c r="A59" s="14">
        <v>55</v>
      </c>
      <c r="B59" s="14" t="s">
        <v>136</v>
      </c>
      <c r="C59" s="14" t="s">
        <v>164</v>
      </c>
      <c r="D59" s="14" t="s">
        <v>63</v>
      </c>
      <c r="E59" s="5" t="s">
        <v>39</v>
      </c>
      <c r="F59" s="5" t="s">
        <v>98</v>
      </c>
      <c r="G59" s="14" t="s">
        <v>72</v>
      </c>
      <c r="H59" s="26">
        <v>48230896</v>
      </c>
      <c r="I59" s="6">
        <v>0</v>
      </c>
      <c r="J59" s="6">
        <v>1152770.47</v>
      </c>
      <c r="K59" s="14" t="s">
        <v>99</v>
      </c>
      <c r="L59" s="14" t="s">
        <v>100</v>
      </c>
    </row>
    <row r="60" spans="1:12">
      <c r="A60" s="17">
        <v>56</v>
      </c>
      <c r="B60" s="17" t="s">
        <v>136</v>
      </c>
      <c r="C60" s="17" t="s">
        <v>165</v>
      </c>
      <c r="D60" s="17" t="s">
        <v>63</v>
      </c>
      <c r="E60" s="8" t="s">
        <v>37</v>
      </c>
      <c r="F60" s="8" t="s">
        <v>163</v>
      </c>
      <c r="G60" s="17" t="s">
        <v>72</v>
      </c>
      <c r="H60" s="31">
        <v>50000</v>
      </c>
      <c r="I60" s="9">
        <v>0</v>
      </c>
      <c r="J60" s="9">
        <v>1102770.47</v>
      </c>
      <c r="K60" s="17" t="s">
        <v>87</v>
      </c>
      <c r="L60" s="17" t="s">
        <v>74</v>
      </c>
    </row>
    <row r="61" spans="1:12">
      <c r="A61" s="14">
        <v>57</v>
      </c>
      <c r="B61" s="14" t="s">
        <v>136</v>
      </c>
      <c r="C61" s="14" t="s">
        <v>165</v>
      </c>
      <c r="D61" s="14" t="s">
        <v>63</v>
      </c>
      <c r="E61" s="5" t="s">
        <v>37</v>
      </c>
      <c r="F61" s="5" t="s">
        <v>163</v>
      </c>
      <c r="G61" s="14" t="s">
        <v>72</v>
      </c>
      <c r="H61" s="26">
        <v>2500</v>
      </c>
      <c r="I61" s="6">
        <v>0</v>
      </c>
      <c r="J61" s="6">
        <v>1100270.47</v>
      </c>
      <c r="K61" s="14" t="s">
        <v>87</v>
      </c>
      <c r="L61" s="14" t="s">
        <v>74</v>
      </c>
    </row>
    <row r="62" spans="1:12">
      <c r="A62" s="17">
        <v>58</v>
      </c>
      <c r="B62" s="17" t="s">
        <v>136</v>
      </c>
      <c r="C62" s="17" t="s">
        <v>166</v>
      </c>
      <c r="D62" s="17" t="s">
        <v>63</v>
      </c>
      <c r="E62" s="8" t="s">
        <v>37</v>
      </c>
      <c r="F62" s="8" t="s">
        <v>163</v>
      </c>
      <c r="G62" s="17" t="s">
        <v>72</v>
      </c>
      <c r="H62" s="31">
        <v>50000</v>
      </c>
      <c r="I62" s="9">
        <v>0</v>
      </c>
      <c r="J62" s="9">
        <v>1050270.47</v>
      </c>
      <c r="K62" s="17" t="s">
        <v>167</v>
      </c>
      <c r="L62" s="17" t="s">
        <v>74</v>
      </c>
    </row>
    <row r="63" spans="1:12">
      <c r="A63" s="14">
        <v>59</v>
      </c>
      <c r="B63" s="14" t="s">
        <v>136</v>
      </c>
      <c r="C63" s="14" t="s">
        <v>166</v>
      </c>
      <c r="D63" s="14" t="s">
        <v>63</v>
      </c>
      <c r="E63" s="5" t="s">
        <v>37</v>
      </c>
      <c r="F63" s="5" t="s">
        <v>163</v>
      </c>
      <c r="G63" s="14" t="s">
        <v>72</v>
      </c>
      <c r="H63" s="26">
        <v>2500</v>
      </c>
      <c r="I63" s="6">
        <v>0</v>
      </c>
      <c r="J63" s="6">
        <v>1047770.47</v>
      </c>
      <c r="K63" s="14" t="s">
        <v>167</v>
      </c>
      <c r="L63" s="14" t="s">
        <v>74</v>
      </c>
    </row>
    <row r="64" spans="1:12">
      <c r="A64" s="17">
        <v>60</v>
      </c>
      <c r="B64" s="17" t="s">
        <v>136</v>
      </c>
      <c r="C64" s="17" t="s">
        <v>168</v>
      </c>
      <c r="D64" s="17" t="s">
        <v>63</v>
      </c>
      <c r="E64" s="8" t="s">
        <v>36</v>
      </c>
      <c r="F64" s="8" t="s">
        <v>117</v>
      </c>
      <c r="G64" s="17" t="s">
        <v>65</v>
      </c>
      <c r="H64" s="9">
        <v>0</v>
      </c>
      <c r="I64" s="32">
        <v>542</v>
      </c>
      <c r="J64" s="9">
        <v>1048312.47</v>
      </c>
      <c r="K64" s="17" t="s">
        <v>48</v>
      </c>
      <c r="L64" s="17" t="s">
        <v>118</v>
      </c>
    </row>
    <row r="65" spans="1:12">
      <c r="A65" s="14">
        <v>61</v>
      </c>
      <c r="B65" s="14" t="s">
        <v>136</v>
      </c>
      <c r="C65" s="14" t="s">
        <v>168</v>
      </c>
      <c r="D65" s="14" t="s">
        <v>63</v>
      </c>
      <c r="E65" s="5" t="s">
        <v>45</v>
      </c>
      <c r="F65" s="5" t="s">
        <v>119</v>
      </c>
      <c r="G65" s="14" t="s">
        <v>72</v>
      </c>
      <c r="H65" s="26">
        <v>35000</v>
      </c>
      <c r="I65" s="6">
        <v>0</v>
      </c>
      <c r="J65" s="6">
        <v>1013312.47</v>
      </c>
      <c r="K65" s="14" t="s">
        <v>48</v>
      </c>
      <c r="L65" s="14" t="s">
        <v>120</v>
      </c>
    </row>
    <row r="66" spans="1:12">
      <c r="A66" s="17">
        <v>62</v>
      </c>
      <c r="B66" s="17" t="s">
        <v>136</v>
      </c>
      <c r="C66" s="17" t="s">
        <v>168</v>
      </c>
      <c r="D66" s="17" t="s">
        <v>63</v>
      </c>
      <c r="E66" s="8" t="s">
        <v>45</v>
      </c>
      <c r="F66" s="8" t="s">
        <v>121</v>
      </c>
      <c r="G66" s="17" t="s">
        <v>72</v>
      </c>
      <c r="H66" s="31">
        <v>1500</v>
      </c>
      <c r="I66" s="9">
        <v>0</v>
      </c>
      <c r="J66" s="9">
        <v>1011812.47</v>
      </c>
      <c r="K66" s="17" t="s">
        <v>48</v>
      </c>
      <c r="L66" s="17" t="s">
        <v>122</v>
      </c>
    </row>
    <row r="67" spans="1:12">
      <c r="A67" s="14">
        <v>63</v>
      </c>
      <c r="B67" s="14" t="s">
        <v>136</v>
      </c>
      <c r="C67" s="14" t="s">
        <v>169</v>
      </c>
      <c r="D67" s="14" t="s">
        <v>63</v>
      </c>
      <c r="E67" s="5" t="s">
        <v>34</v>
      </c>
      <c r="F67" s="5" t="s">
        <v>109</v>
      </c>
      <c r="G67" s="14" t="s">
        <v>65</v>
      </c>
      <c r="H67" s="6">
        <v>0</v>
      </c>
      <c r="I67" s="33">
        <v>10000000</v>
      </c>
      <c r="J67" s="6">
        <v>11011812.470000001</v>
      </c>
      <c r="K67" s="14" t="s">
        <v>170</v>
      </c>
      <c r="L67" s="14" t="s">
        <v>96</v>
      </c>
    </row>
    <row r="68" spans="1:12">
      <c r="A68" s="17">
        <v>64</v>
      </c>
      <c r="B68" s="17" t="s">
        <v>136</v>
      </c>
      <c r="C68" s="17" t="s">
        <v>171</v>
      </c>
      <c r="D68" s="17" t="s">
        <v>63</v>
      </c>
      <c r="E68" s="8" t="s">
        <v>39</v>
      </c>
      <c r="F68" s="8" t="s">
        <v>172</v>
      </c>
      <c r="G68" s="17" t="s">
        <v>72</v>
      </c>
      <c r="H68" s="31">
        <v>9814307</v>
      </c>
      <c r="I68" s="9">
        <v>0</v>
      </c>
      <c r="J68" s="9">
        <v>1197505.47</v>
      </c>
      <c r="K68" s="17" t="s">
        <v>130</v>
      </c>
      <c r="L68" s="17" t="s">
        <v>100</v>
      </c>
    </row>
    <row r="69" spans="1:12">
      <c r="A69" s="22">
        <v>65</v>
      </c>
      <c r="B69" s="22" t="s">
        <v>173</v>
      </c>
      <c r="C69" s="22" t="s">
        <v>174</v>
      </c>
      <c r="D69" s="22" t="s">
        <v>63</v>
      </c>
      <c r="E69" s="23" t="s">
        <v>31</v>
      </c>
      <c r="F69" s="23" t="s">
        <v>152</v>
      </c>
      <c r="G69" s="22" t="s">
        <v>65</v>
      </c>
      <c r="H69" s="24">
        <v>0</v>
      </c>
      <c r="I69" s="25">
        <v>116833600</v>
      </c>
      <c r="J69" s="24">
        <v>118031105.47</v>
      </c>
      <c r="K69" s="22" t="s">
        <v>66</v>
      </c>
      <c r="L69" s="22" t="s">
        <v>67</v>
      </c>
    </row>
    <row r="70" spans="1:12">
      <c r="A70" s="22">
        <v>66</v>
      </c>
      <c r="B70" s="22" t="s">
        <v>173</v>
      </c>
      <c r="C70" s="22" t="s">
        <v>175</v>
      </c>
      <c r="D70" s="22" t="s">
        <v>63</v>
      </c>
      <c r="E70" s="23" t="s">
        <v>31</v>
      </c>
      <c r="F70" s="23" t="s">
        <v>176</v>
      </c>
      <c r="G70" s="22" t="s">
        <v>65</v>
      </c>
      <c r="H70" s="24">
        <v>0</v>
      </c>
      <c r="I70" s="25">
        <v>131661000</v>
      </c>
      <c r="J70" s="24">
        <v>249692105.47</v>
      </c>
      <c r="K70" s="22" t="s">
        <v>66</v>
      </c>
      <c r="L70" s="22" t="s">
        <v>67</v>
      </c>
    </row>
    <row r="71" spans="1:12">
      <c r="A71" s="14">
        <v>67</v>
      </c>
      <c r="B71" s="14" t="s">
        <v>173</v>
      </c>
      <c r="C71" s="14" t="s">
        <v>177</v>
      </c>
      <c r="D71" s="14" t="s">
        <v>63</v>
      </c>
      <c r="E71" s="5" t="s">
        <v>42</v>
      </c>
      <c r="F71" s="5" t="s">
        <v>178</v>
      </c>
      <c r="G71" s="14" t="s">
        <v>72</v>
      </c>
      <c r="H71" s="26">
        <v>500000</v>
      </c>
      <c r="I71" s="6">
        <v>0</v>
      </c>
      <c r="J71" s="6">
        <v>249192105.47</v>
      </c>
      <c r="K71" s="14" t="s">
        <v>179</v>
      </c>
      <c r="L71" s="14" t="s">
        <v>74</v>
      </c>
    </row>
    <row r="72" spans="1:12">
      <c r="A72" s="17">
        <v>68</v>
      </c>
      <c r="B72" s="17" t="s">
        <v>173</v>
      </c>
      <c r="C72" s="17" t="s">
        <v>177</v>
      </c>
      <c r="D72" s="17" t="s">
        <v>63</v>
      </c>
      <c r="E72" s="8" t="s">
        <v>45</v>
      </c>
      <c r="F72" s="8" t="s">
        <v>178</v>
      </c>
      <c r="G72" s="17" t="s">
        <v>72</v>
      </c>
      <c r="H72" s="31">
        <v>3000</v>
      </c>
      <c r="I72" s="9">
        <v>0</v>
      </c>
      <c r="J72" s="9">
        <v>249189105.47</v>
      </c>
      <c r="K72" s="17" t="s">
        <v>179</v>
      </c>
      <c r="L72" s="17" t="s">
        <v>74</v>
      </c>
    </row>
    <row r="73" spans="1:12">
      <c r="A73" s="14">
        <v>69</v>
      </c>
      <c r="B73" s="14" t="s">
        <v>173</v>
      </c>
      <c r="C73" s="14" t="s">
        <v>180</v>
      </c>
      <c r="D73" s="14" t="s">
        <v>63</v>
      </c>
      <c r="E73" s="5" t="s">
        <v>42</v>
      </c>
      <c r="F73" s="5" t="s">
        <v>181</v>
      </c>
      <c r="G73" s="14" t="s">
        <v>72</v>
      </c>
      <c r="H73" s="26">
        <v>500000</v>
      </c>
      <c r="I73" s="6">
        <v>0</v>
      </c>
      <c r="J73" s="6">
        <v>248689105.47</v>
      </c>
      <c r="K73" s="14" t="s">
        <v>77</v>
      </c>
      <c r="L73" s="14" t="s">
        <v>74</v>
      </c>
    </row>
    <row r="74" spans="1:12">
      <c r="A74" s="17">
        <v>70</v>
      </c>
      <c r="B74" s="17" t="s">
        <v>173</v>
      </c>
      <c r="C74" s="17" t="s">
        <v>180</v>
      </c>
      <c r="D74" s="17" t="s">
        <v>63</v>
      </c>
      <c r="E74" s="8" t="s">
        <v>45</v>
      </c>
      <c r="F74" s="8" t="s">
        <v>181</v>
      </c>
      <c r="G74" s="17" t="s">
        <v>72</v>
      </c>
      <c r="H74" s="31">
        <v>3000</v>
      </c>
      <c r="I74" s="9">
        <v>0</v>
      </c>
      <c r="J74" s="9">
        <v>248686105.47</v>
      </c>
      <c r="K74" s="17" t="s">
        <v>77</v>
      </c>
      <c r="L74" s="17" t="s">
        <v>74</v>
      </c>
    </row>
    <row r="75" spans="1:12">
      <c r="A75" s="14">
        <v>71</v>
      </c>
      <c r="B75" s="14" t="s">
        <v>173</v>
      </c>
      <c r="C75" s="14" t="s">
        <v>182</v>
      </c>
      <c r="D75" s="14" t="s">
        <v>63</v>
      </c>
      <c r="E75" s="5" t="s">
        <v>42</v>
      </c>
      <c r="F75" s="5" t="s">
        <v>183</v>
      </c>
      <c r="G75" s="14" t="s">
        <v>72</v>
      </c>
      <c r="H75" s="26">
        <v>500000</v>
      </c>
      <c r="I75" s="6">
        <v>0</v>
      </c>
      <c r="J75" s="6">
        <v>248186105.47</v>
      </c>
      <c r="K75" s="14" t="s">
        <v>87</v>
      </c>
      <c r="L75" s="14" t="s">
        <v>74</v>
      </c>
    </row>
    <row r="76" spans="1:12">
      <c r="A76" s="17">
        <v>72</v>
      </c>
      <c r="B76" s="17" t="s">
        <v>173</v>
      </c>
      <c r="C76" s="17" t="s">
        <v>182</v>
      </c>
      <c r="D76" s="17" t="s">
        <v>63</v>
      </c>
      <c r="E76" s="8" t="s">
        <v>45</v>
      </c>
      <c r="F76" s="8" t="s">
        <v>183</v>
      </c>
      <c r="G76" s="17" t="s">
        <v>72</v>
      </c>
      <c r="H76" s="31">
        <v>3000</v>
      </c>
      <c r="I76" s="9">
        <v>0</v>
      </c>
      <c r="J76" s="9">
        <v>248183105.47</v>
      </c>
      <c r="K76" s="17" t="s">
        <v>87</v>
      </c>
      <c r="L76" s="17" t="s">
        <v>74</v>
      </c>
    </row>
    <row r="77" spans="1:12">
      <c r="A77" s="14">
        <v>73</v>
      </c>
      <c r="B77" s="14" t="s">
        <v>173</v>
      </c>
      <c r="C77" s="14" t="s">
        <v>184</v>
      </c>
      <c r="D77" s="14" t="s">
        <v>63</v>
      </c>
      <c r="E77" s="5" t="s">
        <v>37</v>
      </c>
      <c r="F77" s="5" t="s">
        <v>185</v>
      </c>
      <c r="G77" s="14" t="s">
        <v>72</v>
      </c>
      <c r="H77" s="26">
        <v>21000000</v>
      </c>
      <c r="I77" s="6">
        <v>0</v>
      </c>
      <c r="J77" s="6">
        <v>227183105.47</v>
      </c>
      <c r="K77" s="14" t="s">
        <v>186</v>
      </c>
      <c r="L77" s="14" t="s">
        <v>74</v>
      </c>
    </row>
    <row r="78" spans="1:12">
      <c r="A78" s="17">
        <v>74</v>
      </c>
      <c r="B78" s="17" t="s">
        <v>173</v>
      </c>
      <c r="C78" s="17" t="s">
        <v>184</v>
      </c>
      <c r="D78" s="17" t="s">
        <v>63</v>
      </c>
      <c r="E78" s="8" t="s">
        <v>45</v>
      </c>
      <c r="F78" s="8" t="s">
        <v>185</v>
      </c>
      <c r="G78" s="17" t="s">
        <v>72</v>
      </c>
      <c r="H78" s="31">
        <v>6500</v>
      </c>
      <c r="I78" s="9">
        <v>0</v>
      </c>
      <c r="J78" s="9">
        <v>227176605.47</v>
      </c>
      <c r="K78" s="17" t="s">
        <v>186</v>
      </c>
      <c r="L78" s="17" t="s">
        <v>74</v>
      </c>
    </row>
    <row r="79" spans="1:12">
      <c r="A79" s="14">
        <v>75</v>
      </c>
      <c r="B79" s="14" t="s">
        <v>173</v>
      </c>
      <c r="C79" s="14" t="s">
        <v>187</v>
      </c>
      <c r="D79" s="14" t="s">
        <v>63</v>
      </c>
      <c r="E79" s="5" t="s">
        <v>37</v>
      </c>
      <c r="F79" s="5" t="s">
        <v>188</v>
      </c>
      <c r="G79" s="14" t="s">
        <v>72</v>
      </c>
      <c r="H79" s="26">
        <v>950000</v>
      </c>
      <c r="I79" s="6">
        <v>0</v>
      </c>
      <c r="J79" s="6">
        <v>226226605.47</v>
      </c>
      <c r="K79" s="14" t="s">
        <v>87</v>
      </c>
      <c r="L79" s="14" t="s">
        <v>74</v>
      </c>
    </row>
    <row r="80" spans="1:12">
      <c r="A80" s="27">
        <v>76</v>
      </c>
      <c r="B80" s="27" t="s">
        <v>173</v>
      </c>
      <c r="C80" s="27" t="s">
        <v>189</v>
      </c>
      <c r="D80" s="27" t="s">
        <v>63</v>
      </c>
      <c r="E80" s="28" t="s">
        <v>37</v>
      </c>
      <c r="F80" s="28" t="s">
        <v>190</v>
      </c>
      <c r="G80" s="27" t="s">
        <v>72</v>
      </c>
      <c r="H80" s="29">
        <v>150000000</v>
      </c>
      <c r="I80" s="30">
        <v>0</v>
      </c>
      <c r="J80" s="30">
        <v>76226605.469999999</v>
      </c>
      <c r="K80" s="27" t="s">
        <v>95</v>
      </c>
      <c r="L80" s="27" t="s">
        <v>74</v>
      </c>
    </row>
    <row r="81" spans="1:12">
      <c r="A81" s="14">
        <v>77</v>
      </c>
      <c r="B81" s="14" t="s">
        <v>173</v>
      </c>
      <c r="C81" s="14" t="s">
        <v>191</v>
      </c>
      <c r="D81" s="14" t="s">
        <v>63</v>
      </c>
      <c r="E81" s="5" t="s">
        <v>37</v>
      </c>
      <c r="F81" s="5" t="s">
        <v>192</v>
      </c>
      <c r="G81" s="14" t="s">
        <v>72</v>
      </c>
      <c r="H81" s="26">
        <v>27500000</v>
      </c>
      <c r="I81" s="6">
        <v>0</v>
      </c>
      <c r="J81" s="6">
        <v>48726605.469999999</v>
      </c>
      <c r="K81" s="14" t="s">
        <v>146</v>
      </c>
      <c r="L81" s="14" t="s">
        <v>74</v>
      </c>
    </row>
    <row r="82" spans="1:12">
      <c r="A82" s="17">
        <v>78</v>
      </c>
      <c r="B82" s="17" t="s">
        <v>173</v>
      </c>
      <c r="C82" s="17" t="s">
        <v>191</v>
      </c>
      <c r="D82" s="17" t="s">
        <v>63</v>
      </c>
      <c r="E82" s="8" t="s">
        <v>45</v>
      </c>
      <c r="F82" s="8" t="s">
        <v>192</v>
      </c>
      <c r="G82" s="17" t="s">
        <v>72</v>
      </c>
      <c r="H82" s="31">
        <v>6500</v>
      </c>
      <c r="I82" s="9">
        <v>0</v>
      </c>
      <c r="J82" s="9">
        <v>48720105.469999999</v>
      </c>
      <c r="K82" s="17" t="s">
        <v>146</v>
      </c>
      <c r="L82" s="17" t="s">
        <v>74</v>
      </c>
    </row>
    <row r="83" spans="1:12">
      <c r="A83" s="14">
        <v>79</v>
      </c>
      <c r="B83" s="14" t="s">
        <v>173</v>
      </c>
      <c r="C83" s="14" t="s">
        <v>193</v>
      </c>
      <c r="D83" s="14" t="s">
        <v>63</v>
      </c>
      <c r="E83" s="5" t="s">
        <v>37</v>
      </c>
      <c r="F83" s="5" t="s">
        <v>194</v>
      </c>
      <c r="G83" s="14" t="s">
        <v>72</v>
      </c>
      <c r="H83" s="26">
        <v>5500000</v>
      </c>
      <c r="I83" s="6">
        <v>0</v>
      </c>
      <c r="J83" s="6">
        <v>43220105.469999999</v>
      </c>
      <c r="K83" s="14" t="s">
        <v>179</v>
      </c>
      <c r="L83" s="14" t="s">
        <v>74</v>
      </c>
    </row>
    <row r="84" spans="1:12">
      <c r="A84" s="17">
        <v>80</v>
      </c>
      <c r="B84" s="17" t="s">
        <v>173</v>
      </c>
      <c r="C84" s="17" t="s">
        <v>193</v>
      </c>
      <c r="D84" s="17" t="s">
        <v>63</v>
      </c>
      <c r="E84" s="8" t="s">
        <v>45</v>
      </c>
      <c r="F84" s="8" t="s">
        <v>194</v>
      </c>
      <c r="G84" s="17" t="s">
        <v>72</v>
      </c>
      <c r="H84" s="31">
        <v>6500</v>
      </c>
      <c r="I84" s="9">
        <v>0</v>
      </c>
      <c r="J84" s="9">
        <v>43213605.469999999</v>
      </c>
      <c r="K84" s="17" t="s">
        <v>179</v>
      </c>
      <c r="L84" s="17" t="s">
        <v>74</v>
      </c>
    </row>
    <row r="85" spans="1:12">
      <c r="A85" s="22">
        <v>81</v>
      </c>
      <c r="B85" s="22" t="s">
        <v>173</v>
      </c>
      <c r="C85" s="22" t="s">
        <v>195</v>
      </c>
      <c r="D85" s="22" t="s">
        <v>63</v>
      </c>
      <c r="E85" s="23" t="s">
        <v>31</v>
      </c>
      <c r="F85" s="23" t="s">
        <v>196</v>
      </c>
      <c r="G85" s="22" t="s">
        <v>65</v>
      </c>
      <c r="H85" s="24">
        <v>0</v>
      </c>
      <c r="I85" s="25">
        <v>98294278</v>
      </c>
      <c r="J85" s="24">
        <v>141507883.47</v>
      </c>
      <c r="K85" s="22" t="s">
        <v>66</v>
      </c>
      <c r="L85" s="22" t="s">
        <v>67</v>
      </c>
    </row>
    <row r="86" spans="1:12">
      <c r="A86" s="22">
        <v>82</v>
      </c>
      <c r="B86" s="22" t="s">
        <v>173</v>
      </c>
      <c r="C86" s="22" t="s">
        <v>197</v>
      </c>
      <c r="D86" s="22" t="s">
        <v>63</v>
      </c>
      <c r="E86" s="23" t="s">
        <v>31</v>
      </c>
      <c r="F86" s="23" t="s">
        <v>198</v>
      </c>
      <c r="G86" s="22" t="s">
        <v>65</v>
      </c>
      <c r="H86" s="24">
        <v>0</v>
      </c>
      <c r="I86" s="25">
        <v>95407500</v>
      </c>
      <c r="J86" s="24">
        <v>236915383.47</v>
      </c>
      <c r="K86" s="22" t="s">
        <v>66</v>
      </c>
      <c r="L86" s="22" t="s">
        <v>67</v>
      </c>
    </row>
    <row r="87" spans="1:12">
      <c r="A87" s="14">
        <v>83</v>
      </c>
      <c r="B87" s="14" t="s">
        <v>173</v>
      </c>
      <c r="C87" s="14" t="s">
        <v>199</v>
      </c>
      <c r="D87" s="14" t="s">
        <v>63</v>
      </c>
      <c r="E87" s="5" t="s">
        <v>37</v>
      </c>
      <c r="F87" s="5" t="s">
        <v>200</v>
      </c>
      <c r="G87" s="14" t="s">
        <v>72</v>
      </c>
      <c r="H87" s="26">
        <v>76000000</v>
      </c>
      <c r="I87" s="6">
        <v>0</v>
      </c>
      <c r="J87" s="6">
        <v>160915383.47</v>
      </c>
      <c r="K87" s="14" t="s">
        <v>146</v>
      </c>
      <c r="L87" s="14" t="s">
        <v>74</v>
      </c>
    </row>
    <row r="88" spans="1:12">
      <c r="A88" s="17">
        <v>84</v>
      </c>
      <c r="B88" s="17" t="s">
        <v>173</v>
      </c>
      <c r="C88" s="17" t="s">
        <v>199</v>
      </c>
      <c r="D88" s="17" t="s">
        <v>63</v>
      </c>
      <c r="E88" s="8" t="s">
        <v>45</v>
      </c>
      <c r="F88" s="8" t="s">
        <v>200</v>
      </c>
      <c r="G88" s="17" t="s">
        <v>72</v>
      </c>
      <c r="H88" s="31">
        <v>6500</v>
      </c>
      <c r="I88" s="9">
        <v>0</v>
      </c>
      <c r="J88" s="9">
        <v>160908883.47</v>
      </c>
      <c r="K88" s="17" t="s">
        <v>146</v>
      </c>
      <c r="L88" s="17" t="s">
        <v>74</v>
      </c>
    </row>
    <row r="89" spans="1:12">
      <c r="A89" s="14">
        <v>85</v>
      </c>
      <c r="B89" s="14" t="s">
        <v>173</v>
      </c>
      <c r="C89" s="14" t="s">
        <v>201</v>
      </c>
      <c r="D89" s="14" t="s">
        <v>63</v>
      </c>
      <c r="E89" s="5" t="s">
        <v>37</v>
      </c>
      <c r="F89" s="5" t="s">
        <v>202</v>
      </c>
      <c r="G89" s="14" t="s">
        <v>72</v>
      </c>
      <c r="H89" s="26">
        <v>76000000</v>
      </c>
      <c r="I89" s="6">
        <v>0</v>
      </c>
      <c r="J89" s="6">
        <v>84908883.469999999</v>
      </c>
      <c r="K89" s="14" t="s">
        <v>87</v>
      </c>
      <c r="L89" s="14" t="s">
        <v>74</v>
      </c>
    </row>
    <row r="90" spans="1:12">
      <c r="A90" s="17">
        <v>86</v>
      </c>
      <c r="B90" s="17" t="s">
        <v>173</v>
      </c>
      <c r="C90" s="17" t="s">
        <v>201</v>
      </c>
      <c r="D90" s="17" t="s">
        <v>63</v>
      </c>
      <c r="E90" s="8" t="s">
        <v>45</v>
      </c>
      <c r="F90" s="8" t="s">
        <v>202</v>
      </c>
      <c r="G90" s="17" t="s">
        <v>72</v>
      </c>
      <c r="H90" s="31">
        <v>6500</v>
      </c>
      <c r="I90" s="9">
        <v>0</v>
      </c>
      <c r="J90" s="9">
        <v>84902383.469999999</v>
      </c>
      <c r="K90" s="17" t="s">
        <v>87</v>
      </c>
      <c r="L90" s="17" t="s">
        <v>74</v>
      </c>
    </row>
    <row r="91" spans="1:12">
      <c r="A91" s="14">
        <v>87</v>
      </c>
      <c r="B91" s="14" t="s">
        <v>173</v>
      </c>
      <c r="C91" s="14" t="s">
        <v>203</v>
      </c>
      <c r="D91" s="14" t="s">
        <v>63</v>
      </c>
      <c r="E91" s="5" t="s">
        <v>39</v>
      </c>
      <c r="F91" s="5" t="s">
        <v>98</v>
      </c>
      <c r="G91" s="14" t="s">
        <v>72</v>
      </c>
      <c r="H91" s="26">
        <v>45271600</v>
      </c>
      <c r="I91" s="6">
        <v>0</v>
      </c>
      <c r="J91" s="6">
        <v>39630783.469999999</v>
      </c>
      <c r="K91" s="14" t="s">
        <v>99</v>
      </c>
      <c r="L91" s="14" t="s">
        <v>100</v>
      </c>
    </row>
    <row r="92" spans="1:12">
      <c r="A92" s="17">
        <v>88</v>
      </c>
      <c r="B92" s="17" t="s">
        <v>173</v>
      </c>
      <c r="C92" s="17" t="s">
        <v>204</v>
      </c>
      <c r="D92" s="17" t="s">
        <v>63</v>
      </c>
      <c r="E92" s="8" t="s">
        <v>39</v>
      </c>
      <c r="F92" s="8" t="s">
        <v>205</v>
      </c>
      <c r="G92" s="17" t="s">
        <v>72</v>
      </c>
      <c r="H92" s="31">
        <v>8868094</v>
      </c>
      <c r="I92" s="9">
        <v>0</v>
      </c>
      <c r="J92" s="9">
        <v>30762689.469999999</v>
      </c>
      <c r="K92" s="17" t="s">
        <v>73</v>
      </c>
      <c r="L92" s="17" t="s">
        <v>100</v>
      </c>
    </row>
    <row r="93" spans="1:12">
      <c r="A93" s="14">
        <v>89</v>
      </c>
      <c r="B93" s="14" t="s">
        <v>173</v>
      </c>
      <c r="C93" s="14" t="s">
        <v>206</v>
      </c>
      <c r="D93" s="14" t="s">
        <v>63</v>
      </c>
      <c r="E93" s="5" t="s">
        <v>36</v>
      </c>
      <c r="F93" s="5" t="s">
        <v>117</v>
      </c>
      <c r="G93" s="14" t="s">
        <v>65</v>
      </c>
      <c r="H93" s="6">
        <v>0</v>
      </c>
      <c r="I93" s="33">
        <v>20434</v>
      </c>
      <c r="J93" s="6">
        <v>30783123.469999999</v>
      </c>
      <c r="K93" s="14" t="s">
        <v>48</v>
      </c>
      <c r="L93" s="14" t="s">
        <v>118</v>
      </c>
    </row>
    <row r="94" spans="1:12">
      <c r="A94" s="17">
        <v>90</v>
      </c>
      <c r="B94" s="17" t="s">
        <v>173</v>
      </c>
      <c r="C94" s="17" t="s">
        <v>206</v>
      </c>
      <c r="D94" s="17" t="s">
        <v>63</v>
      </c>
      <c r="E94" s="8" t="s">
        <v>46</v>
      </c>
      <c r="F94" s="8" t="s">
        <v>123</v>
      </c>
      <c r="G94" s="17" t="s">
        <v>72</v>
      </c>
      <c r="H94" s="31">
        <v>4087</v>
      </c>
      <c r="I94" s="9">
        <v>0</v>
      </c>
      <c r="J94" s="9">
        <v>30779036.469999999</v>
      </c>
      <c r="K94" s="17" t="s">
        <v>48</v>
      </c>
      <c r="L94" s="17" t="s">
        <v>124</v>
      </c>
    </row>
    <row r="95" spans="1:12">
      <c r="A95" s="14">
        <v>91</v>
      </c>
      <c r="B95" s="14" t="s">
        <v>173</v>
      </c>
      <c r="C95" s="14" t="s">
        <v>206</v>
      </c>
      <c r="D95" s="14" t="s">
        <v>63</v>
      </c>
      <c r="E95" s="5" t="s">
        <v>45</v>
      </c>
      <c r="F95" s="5" t="s">
        <v>121</v>
      </c>
      <c r="G95" s="14" t="s">
        <v>72</v>
      </c>
      <c r="H95" s="26">
        <v>1500</v>
      </c>
      <c r="I95" s="6">
        <v>0</v>
      </c>
      <c r="J95" s="6">
        <v>30777536.469999999</v>
      </c>
      <c r="K95" s="14" t="s">
        <v>48</v>
      </c>
      <c r="L95" s="14" t="s">
        <v>122</v>
      </c>
    </row>
    <row r="96" spans="1:12">
      <c r="A96" s="17">
        <v>92</v>
      </c>
      <c r="B96" s="17" t="s">
        <v>173</v>
      </c>
      <c r="C96" s="17" t="s">
        <v>207</v>
      </c>
      <c r="D96" s="17" t="s">
        <v>63</v>
      </c>
      <c r="E96" s="8" t="s">
        <v>31</v>
      </c>
      <c r="F96" s="8" t="s">
        <v>208</v>
      </c>
      <c r="G96" s="17" t="s">
        <v>65</v>
      </c>
      <c r="H96" s="9">
        <v>0</v>
      </c>
      <c r="I96" s="32">
        <v>42442181</v>
      </c>
      <c r="J96" s="9">
        <v>73219717.469999999</v>
      </c>
      <c r="K96" s="17" t="s">
        <v>66</v>
      </c>
      <c r="L96" s="17" t="s">
        <v>67</v>
      </c>
    </row>
    <row r="97" spans="1:12">
      <c r="A97" s="22">
        <v>93</v>
      </c>
      <c r="B97" s="22" t="s">
        <v>173</v>
      </c>
      <c r="C97" s="22" t="s">
        <v>209</v>
      </c>
      <c r="D97" s="22" t="s">
        <v>63</v>
      </c>
      <c r="E97" s="23" t="s">
        <v>31</v>
      </c>
      <c r="F97" s="23" t="s">
        <v>210</v>
      </c>
      <c r="G97" s="22" t="s">
        <v>65</v>
      </c>
      <c r="H97" s="24">
        <v>0</v>
      </c>
      <c r="I97" s="25">
        <v>87158400</v>
      </c>
      <c r="J97" s="24">
        <v>160378117.47</v>
      </c>
      <c r="K97" s="22" t="s">
        <v>66</v>
      </c>
      <c r="L97" s="22" t="s">
        <v>67</v>
      </c>
    </row>
    <row r="98" spans="1:12">
      <c r="A98" s="17">
        <v>94</v>
      </c>
      <c r="B98" s="17" t="s">
        <v>173</v>
      </c>
      <c r="C98" s="17" t="s">
        <v>211</v>
      </c>
      <c r="D98" s="17" t="s">
        <v>63</v>
      </c>
      <c r="E98" s="8" t="s">
        <v>37</v>
      </c>
      <c r="F98" s="8" t="s">
        <v>212</v>
      </c>
      <c r="G98" s="17" t="s">
        <v>72</v>
      </c>
      <c r="H98" s="31">
        <v>18000000</v>
      </c>
      <c r="I98" s="9">
        <v>0</v>
      </c>
      <c r="J98" s="9">
        <v>142378117.47</v>
      </c>
      <c r="K98" s="17" t="s">
        <v>179</v>
      </c>
      <c r="L98" s="17" t="s">
        <v>74</v>
      </c>
    </row>
    <row r="99" spans="1:12">
      <c r="A99" s="14">
        <v>95</v>
      </c>
      <c r="B99" s="14" t="s">
        <v>173</v>
      </c>
      <c r="C99" s="14" t="s">
        <v>211</v>
      </c>
      <c r="D99" s="14" t="s">
        <v>63</v>
      </c>
      <c r="E99" s="5" t="s">
        <v>45</v>
      </c>
      <c r="F99" s="5" t="s">
        <v>212</v>
      </c>
      <c r="G99" s="14" t="s">
        <v>72</v>
      </c>
      <c r="H99" s="26">
        <v>6500</v>
      </c>
      <c r="I99" s="6">
        <v>0</v>
      </c>
      <c r="J99" s="6">
        <v>142371617.47</v>
      </c>
      <c r="K99" s="14" t="s">
        <v>179</v>
      </c>
      <c r="L99" s="14" t="s">
        <v>74</v>
      </c>
    </row>
    <row r="100" spans="1:12">
      <c r="A100" s="27">
        <v>96</v>
      </c>
      <c r="B100" s="27" t="s">
        <v>173</v>
      </c>
      <c r="C100" s="27" t="s">
        <v>213</v>
      </c>
      <c r="D100" s="27" t="s">
        <v>63</v>
      </c>
      <c r="E100" s="28" t="s">
        <v>37</v>
      </c>
      <c r="F100" s="28" t="s">
        <v>214</v>
      </c>
      <c r="G100" s="27" t="s">
        <v>72</v>
      </c>
      <c r="H100" s="29">
        <v>100000000</v>
      </c>
      <c r="I100" s="30">
        <v>0</v>
      </c>
      <c r="J100" s="30">
        <v>42371617.469999999</v>
      </c>
      <c r="K100" s="27" t="s">
        <v>186</v>
      </c>
      <c r="L100" s="27" t="s">
        <v>74</v>
      </c>
    </row>
    <row r="101" spans="1:12">
      <c r="A101" s="14">
        <v>97</v>
      </c>
      <c r="B101" s="14" t="s">
        <v>173</v>
      </c>
      <c r="C101" s="14" t="s">
        <v>213</v>
      </c>
      <c r="D101" s="14" t="s">
        <v>63</v>
      </c>
      <c r="E101" s="5" t="s">
        <v>45</v>
      </c>
      <c r="F101" s="5" t="s">
        <v>214</v>
      </c>
      <c r="G101" s="14" t="s">
        <v>72</v>
      </c>
      <c r="H101" s="26">
        <v>6500</v>
      </c>
      <c r="I101" s="6">
        <v>0</v>
      </c>
      <c r="J101" s="6">
        <v>42365117.469999999</v>
      </c>
      <c r="K101" s="14" t="s">
        <v>186</v>
      </c>
      <c r="L101" s="14" t="s">
        <v>74</v>
      </c>
    </row>
    <row r="102" spans="1:12">
      <c r="A102" s="17">
        <v>98</v>
      </c>
      <c r="B102" s="17" t="s">
        <v>173</v>
      </c>
      <c r="C102" s="17" t="s">
        <v>215</v>
      </c>
      <c r="D102" s="17" t="s">
        <v>63</v>
      </c>
      <c r="E102" s="8" t="s">
        <v>37</v>
      </c>
      <c r="F102" s="8" t="s">
        <v>216</v>
      </c>
      <c r="G102" s="17" t="s">
        <v>72</v>
      </c>
      <c r="H102" s="31">
        <v>42000000</v>
      </c>
      <c r="I102" s="9">
        <v>0</v>
      </c>
      <c r="J102" s="9">
        <v>365117.47</v>
      </c>
      <c r="K102" s="17" t="s">
        <v>179</v>
      </c>
      <c r="L102" s="17" t="s">
        <v>74</v>
      </c>
    </row>
    <row r="103" spans="1:12">
      <c r="A103" s="14">
        <v>99</v>
      </c>
      <c r="B103" s="14" t="s">
        <v>173</v>
      </c>
      <c r="C103" s="14" t="s">
        <v>215</v>
      </c>
      <c r="D103" s="14" t="s">
        <v>63</v>
      </c>
      <c r="E103" s="5" t="s">
        <v>45</v>
      </c>
      <c r="F103" s="5" t="s">
        <v>216</v>
      </c>
      <c r="G103" s="14" t="s">
        <v>72</v>
      </c>
      <c r="H103" s="26">
        <v>6500</v>
      </c>
      <c r="I103" s="6">
        <v>0</v>
      </c>
      <c r="J103" s="6">
        <v>358617.47</v>
      </c>
      <c r="K103" s="14" t="s">
        <v>179</v>
      </c>
      <c r="L103" s="14" t="s">
        <v>74</v>
      </c>
    </row>
    <row r="104" spans="1:12">
      <c r="A104" s="17">
        <v>100</v>
      </c>
      <c r="B104" s="17" t="s">
        <v>217</v>
      </c>
      <c r="C104" s="17" t="s">
        <v>218</v>
      </c>
      <c r="D104" s="17" t="s">
        <v>63</v>
      </c>
      <c r="E104" s="8" t="s">
        <v>39</v>
      </c>
      <c r="F104" s="8" t="s">
        <v>98</v>
      </c>
      <c r="G104" s="17" t="s">
        <v>72</v>
      </c>
      <c r="H104" s="31">
        <v>358617.47</v>
      </c>
      <c r="I104" s="9">
        <v>0</v>
      </c>
      <c r="J104" s="9">
        <v>0</v>
      </c>
      <c r="K104" s="17" t="s">
        <v>99</v>
      </c>
      <c r="L104" s="17" t="s">
        <v>100</v>
      </c>
    </row>
    <row r="105" spans="1:12">
      <c r="A105" s="14">
        <v>101</v>
      </c>
      <c r="B105" s="14" t="s">
        <v>217</v>
      </c>
      <c r="C105" s="14" t="s">
        <v>219</v>
      </c>
      <c r="D105" s="14" t="s">
        <v>63</v>
      </c>
      <c r="E105" s="5" t="s">
        <v>34</v>
      </c>
      <c r="F105" s="5" t="s">
        <v>109</v>
      </c>
      <c r="G105" s="14" t="s">
        <v>65</v>
      </c>
      <c r="H105" s="6">
        <v>0</v>
      </c>
      <c r="I105" s="33">
        <v>2000000</v>
      </c>
      <c r="J105" s="6">
        <v>2000000</v>
      </c>
      <c r="K105" s="14" t="s">
        <v>220</v>
      </c>
      <c r="L105" s="14" t="s">
        <v>96</v>
      </c>
    </row>
    <row r="106" spans="1:12">
      <c r="A106" s="22">
        <v>102</v>
      </c>
      <c r="B106" s="22" t="s">
        <v>217</v>
      </c>
      <c r="C106" s="22" t="s">
        <v>221</v>
      </c>
      <c r="D106" s="22" t="s">
        <v>63</v>
      </c>
      <c r="E106" s="23" t="s">
        <v>31</v>
      </c>
      <c r="F106" s="23" t="s">
        <v>222</v>
      </c>
      <c r="G106" s="22" t="s">
        <v>65</v>
      </c>
      <c r="H106" s="24">
        <v>0</v>
      </c>
      <c r="I106" s="25">
        <v>103584000</v>
      </c>
      <c r="J106" s="24">
        <v>105584000</v>
      </c>
      <c r="K106" s="22" t="s">
        <v>66</v>
      </c>
      <c r="L106" s="22" t="s">
        <v>67</v>
      </c>
    </row>
    <row r="107" spans="1:12">
      <c r="A107" s="14">
        <v>103</v>
      </c>
      <c r="B107" s="14" t="s">
        <v>217</v>
      </c>
      <c r="C107" s="14" t="s">
        <v>223</v>
      </c>
      <c r="D107" s="14" t="s">
        <v>63</v>
      </c>
      <c r="E107" s="5" t="s">
        <v>37</v>
      </c>
      <c r="F107" s="5" t="s">
        <v>224</v>
      </c>
      <c r="G107" s="14" t="s">
        <v>72</v>
      </c>
      <c r="H107" s="26">
        <v>20000000</v>
      </c>
      <c r="I107" s="6">
        <v>0</v>
      </c>
      <c r="J107" s="6">
        <v>85584000</v>
      </c>
      <c r="K107" s="14" t="s">
        <v>135</v>
      </c>
      <c r="L107" s="14" t="s">
        <v>74</v>
      </c>
    </row>
    <row r="108" spans="1:12">
      <c r="A108" s="17">
        <v>104</v>
      </c>
      <c r="B108" s="17" t="s">
        <v>217</v>
      </c>
      <c r="C108" s="17" t="s">
        <v>223</v>
      </c>
      <c r="D108" s="17" t="s">
        <v>63</v>
      </c>
      <c r="E108" s="8" t="s">
        <v>45</v>
      </c>
      <c r="F108" s="8" t="s">
        <v>224</v>
      </c>
      <c r="G108" s="17" t="s">
        <v>72</v>
      </c>
      <c r="H108" s="31">
        <v>6500</v>
      </c>
      <c r="I108" s="9">
        <v>0</v>
      </c>
      <c r="J108" s="9">
        <v>85577500</v>
      </c>
      <c r="K108" s="17" t="s">
        <v>135</v>
      </c>
      <c r="L108" s="17" t="s">
        <v>74</v>
      </c>
    </row>
    <row r="109" spans="1:12">
      <c r="A109" s="14">
        <v>105</v>
      </c>
      <c r="B109" s="14" t="s">
        <v>217</v>
      </c>
      <c r="C109" s="14" t="s">
        <v>225</v>
      </c>
      <c r="D109" s="14" t="s">
        <v>63</v>
      </c>
      <c r="E109" s="5" t="s">
        <v>37</v>
      </c>
      <c r="F109" s="5" t="s">
        <v>226</v>
      </c>
      <c r="G109" s="14" t="s">
        <v>72</v>
      </c>
      <c r="H109" s="26">
        <v>80000000</v>
      </c>
      <c r="I109" s="6">
        <v>0</v>
      </c>
      <c r="J109" s="6">
        <v>5577500</v>
      </c>
      <c r="K109" s="14" t="s">
        <v>179</v>
      </c>
      <c r="L109" s="14" t="s">
        <v>74</v>
      </c>
    </row>
    <row r="110" spans="1:12">
      <c r="A110" s="17">
        <v>106</v>
      </c>
      <c r="B110" s="17" t="s">
        <v>217</v>
      </c>
      <c r="C110" s="17" t="s">
        <v>225</v>
      </c>
      <c r="D110" s="17" t="s">
        <v>63</v>
      </c>
      <c r="E110" s="8" t="s">
        <v>45</v>
      </c>
      <c r="F110" s="8" t="s">
        <v>226</v>
      </c>
      <c r="G110" s="17" t="s">
        <v>72</v>
      </c>
      <c r="H110" s="31">
        <v>6500</v>
      </c>
      <c r="I110" s="9">
        <v>0</v>
      </c>
      <c r="J110" s="9">
        <v>5571000</v>
      </c>
      <c r="K110" s="17" t="s">
        <v>179</v>
      </c>
      <c r="L110" s="17" t="s">
        <v>74</v>
      </c>
    </row>
    <row r="111" spans="1:12">
      <c r="A111" s="14">
        <v>107</v>
      </c>
      <c r="B111" s="14" t="s">
        <v>217</v>
      </c>
      <c r="C111" s="14" t="s">
        <v>227</v>
      </c>
      <c r="D111" s="14" t="s">
        <v>63</v>
      </c>
      <c r="E111" s="5" t="s">
        <v>39</v>
      </c>
      <c r="F111" s="5" t="s">
        <v>98</v>
      </c>
      <c r="G111" s="14" t="s">
        <v>72</v>
      </c>
      <c r="H111" s="26">
        <v>5571000</v>
      </c>
      <c r="I111" s="6">
        <v>0</v>
      </c>
      <c r="J111" s="6">
        <v>0</v>
      </c>
      <c r="K111" s="14" t="s">
        <v>99</v>
      </c>
      <c r="L111" s="14" t="s">
        <v>100</v>
      </c>
    </row>
    <row r="112" spans="1:12">
      <c r="A112" s="22">
        <v>108</v>
      </c>
      <c r="B112" s="22" t="s">
        <v>217</v>
      </c>
      <c r="C112" s="22" t="s">
        <v>228</v>
      </c>
      <c r="D112" s="22" t="s">
        <v>63</v>
      </c>
      <c r="E112" s="23" t="s">
        <v>34</v>
      </c>
      <c r="F112" s="23" t="s">
        <v>229</v>
      </c>
      <c r="G112" s="22" t="s">
        <v>65</v>
      </c>
      <c r="H112" s="24">
        <v>0</v>
      </c>
      <c r="I112" s="25">
        <v>100000000</v>
      </c>
      <c r="J112" s="24">
        <v>100000000</v>
      </c>
      <c r="K112" s="22" t="s">
        <v>230</v>
      </c>
      <c r="L112" s="22" t="s">
        <v>96</v>
      </c>
    </row>
    <row r="113" spans="1:12">
      <c r="A113" s="27">
        <v>109</v>
      </c>
      <c r="B113" s="27" t="s">
        <v>217</v>
      </c>
      <c r="C113" s="27" t="s">
        <v>231</v>
      </c>
      <c r="D113" s="27" t="s">
        <v>63</v>
      </c>
      <c r="E113" s="28" t="s">
        <v>40</v>
      </c>
      <c r="F113" s="28" t="s">
        <v>105</v>
      </c>
      <c r="G113" s="27" t="s">
        <v>72</v>
      </c>
      <c r="H113" s="29">
        <v>100000000</v>
      </c>
      <c r="I113" s="30">
        <v>0</v>
      </c>
      <c r="J113" s="30">
        <v>0</v>
      </c>
      <c r="K113" s="27" t="s">
        <v>106</v>
      </c>
      <c r="L113" s="27" t="s">
        <v>107</v>
      </c>
    </row>
    <row r="114" spans="1:12">
      <c r="A114" s="17">
        <v>110</v>
      </c>
      <c r="B114" s="17" t="s">
        <v>217</v>
      </c>
      <c r="C114" s="17" t="s">
        <v>232</v>
      </c>
      <c r="D114" s="17" t="s">
        <v>63</v>
      </c>
      <c r="E114" s="8" t="s">
        <v>34</v>
      </c>
      <c r="F114" s="8" t="s">
        <v>229</v>
      </c>
      <c r="G114" s="17" t="s">
        <v>65</v>
      </c>
      <c r="H114" s="9">
        <v>0</v>
      </c>
      <c r="I114" s="32">
        <v>32500000</v>
      </c>
      <c r="J114" s="9">
        <v>32500000</v>
      </c>
      <c r="K114" s="17" t="s">
        <v>233</v>
      </c>
      <c r="L114" s="17" t="s">
        <v>96</v>
      </c>
    </row>
    <row r="115" spans="1:12">
      <c r="A115" s="14">
        <v>111</v>
      </c>
      <c r="B115" s="14" t="s">
        <v>217</v>
      </c>
      <c r="C115" s="14" t="s">
        <v>234</v>
      </c>
      <c r="D115" s="14" t="s">
        <v>63</v>
      </c>
      <c r="E115" s="5" t="s">
        <v>40</v>
      </c>
      <c r="F115" s="5" t="s">
        <v>105</v>
      </c>
      <c r="G115" s="14" t="s">
        <v>72</v>
      </c>
      <c r="H115" s="26">
        <v>32500000</v>
      </c>
      <c r="I115" s="6">
        <v>0</v>
      </c>
      <c r="J115" s="6">
        <v>0</v>
      </c>
      <c r="K115" s="14" t="s">
        <v>106</v>
      </c>
      <c r="L115" s="14" t="s">
        <v>107</v>
      </c>
    </row>
    <row r="116" spans="1:12">
      <c r="A116" s="17">
        <v>112</v>
      </c>
      <c r="B116" s="17" t="s">
        <v>217</v>
      </c>
      <c r="C116" s="17" t="s">
        <v>235</v>
      </c>
      <c r="D116" s="17" t="s">
        <v>63</v>
      </c>
      <c r="E116" s="8" t="s">
        <v>31</v>
      </c>
      <c r="F116" s="8" t="s">
        <v>236</v>
      </c>
      <c r="G116" s="17" t="s">
        <v>65</v>
      </c>
      <c r="H116" s="9">
        <v>0</v>
      </c>
      <c r="I116" s="32">
        <v>31887200</v>
      </c>
      <c r="J116" s="9">
        <v>31887200</v>
      </c>
      <c r="K116" s="17" t="s">
        <v>66</v>
      </c>
      <c r="L116" s="17" t="s">
        <v>67</v>
      </c>
    </row>
    <row r="117" spans="1:12">
      <c r="A117" s="14">
        <v>113</v>
      </c>
      <c r="B117" s="14" t="s">
        <v>217</v>
      </c>
      <c r="C117" s="14" t="s">
        <v>237</v>
      </c>
      <c r="D117" s="14" t="s">
        <v>63</v>
      </c>
      <c r="E117" s="5" t="s">
        <v>40</v>
      </c>
      <c r="F117" s="5" t="s">
        <v>105</v>
      </c>
      <c r="G117" s="14" t="s">
        <v>72</v>
      </c>
      <c r="H117" s="26">
        <v>31887200</v>
      </c>
      <c r="I117" s="6">
        <v>0</v>
      </c>
      <c r="J117" s="6">
        <v>0</v>
      </c>
      <c r="K117" s="14" t="s">
        <v>106</v>
      </c>
      <c r="L117" s="14" t="s">
        <v>107</v>
      </c>
    </row>
    <row r="118" spans="1:12">
      <c r="A118" s="22">
        <v>114</v>
      </c>
      <c r="B118" s="22" t="s">
        <v>217</v>
      </c>
      <c r="C118" s="22" t="s">
        <v>238</v>
      </c>
      <c r="D118" s="22" t="s">
        <v>63</v>
      </c>
      <c r="E118" s="23" t="s">
        <v>33</v>
      </c>
      <c r="F118" s="23" t="s">
        <v>239</v>
      </c>
      <c r="G118" s="22" t="s">
        <v>65</v>
      </c>
      <c r="H118" s="24">
        <v>0</v>
      </c>
      <c r="I118" s="25">
        <v>140000000</v>
      </c>
      <c r="J118" s="24">
        <v>140000000</v>
      </c>
      <c r="K118" s="22" t="s">
        <v>95</v>
      </c>
      <c r="L118" s="22" t="s">
        <v>240</v>
      </c>
    </row>
    <row r="119" spans="1:12">
      <c r="A119" s="14">
        <v>115</v>
      </c>
      <c r="B119" s="14" t="s">
        <v>217</v>
      </c>
      <c r="C119" s="14" t="s">
        <v>241</v>
      </c>
      <c r="D119" s="14" t="s">
        <v>63</v>
      </c>
      <c r="E119" s="5" t="s">
        <v>37</v>
      </c>
      <c r="F119" s="5" t="s">
        <v>242</v>
      </c>
      <c r="G119" s="14" t="s">
        <v>72</v>
      </c>
      <c r="H119" s="26">
        <v>50000000</v>
      </c>
      <c r="I119" s="6">
        <v>0</v>
      </c>
      <c r="J119" s="6">
        <v>90000000</v>
      </c>
      <c r="K119" s="14" t="s">
        <v>146</v>
      </c>
      <c r="L119" s="14" t="s">
        <v>74</v>
      </c>
    </row>
    <row r="120" spans="1:12">
      <c r="A120" s="17">
        <v>116</v>
      </c>
      <c r="B120" s="17" t="s">
        <v>217</v>
      </c>
      <c r="C120" s="17" t="s">
        <v>241</v>
      </c>
      <c r="D120" s="17" t="s">
        <v>63</v>
      </c>
      <c r="E120" s="8" t="s">
        <v>45</v>
      </c>
      <c r="F120" s="8" t="s">
        <v>242</v>
      </c>
      <c r="G120" s="17" t="s">
        <v>72</v>
      </c>
      <c r="H120" s="31">
        <v>6500</v>
      </c>
      <c r="I120" s="9">
        <v>0</v>
      </c>
      <c r="J120" s="9">
        <v>89993500</v>
      </c>
      <c r="K120" s="17" t="s">
        <v>146</v>
      </c>
      <c r="L120" s="17" t="s">
        <v>74</v>
      </c>
    </row>
    <row r="121" spans="1:12">
      <c r="A121" s="14">
        <v>117</v>
      </c>
      <c r="B121" s="14" t="s">
        <v>217</v>
      </c>
      <c r="C121" s="14" t="s">
        <v>243</v>
      </c>
      <c r="D121" s="14" t="s">
        <v>63</v>
      </c>
      <c r="E121" s="5" t="s">
        <v>36</v>
      </c>
      <c r="F121" s="5" t="s">
        <v>117</v>
      </c>
      <c r="G121" s="14" t="s">
        <v>65</v>
      </c>
      <c r="H121" s="6">
        <v>0</v>
      </c>
      <c r="I121" s="33">
        <v>2076</v>
      </c>
      <c r="J121" s="6">
        <v>89995576</v>
      </c>
      <c r="K121" s="14" t="s">
        <v>48</v>
      </c>
      <c r="L121" s="14" t="s">
        <v>118</v>
      </c>
    </row>
    <row r="122" spans="1:12">
      <c r="A122" s="17">
        <v>118</v>
      </c>
      <c r="B122" s="17" t="s">
        <v>217</v>
      </c>
      <c r="C122" s="17" t="s">
        <v>243</v>
      </c>
      <c r="D122" s="17" t="s">
        <v>63</v>
      </c>
      <c r="E122" s="8" t="s">
        <v>45</v>
      </c>
      <c r="F122" s="8" t="s">
        <v>119</v>
      </c>
      <c r="G122" s="17" t="s">
        <v>72</v>
      </c>
      <c r="H122" s="31">
        <v>35000</v>
      </c>
      <c r="I122" s="9">
        <v>0</v>
      </c>
      <c r="J122" s="9">
        <v>89960576</v>
      </c>
      <c r="K122" s="17" t="s">
        <v>48</v>
      </c>
      <c r="L122" s="17" t="s">
        <v>120</v>
      </c>
    </row>
    <row r="123" spans="1:12">
      <c r="A123" s="14">
        <v>119</v>
      </c>
      <c r="B123" s="14" t="s">
        <v>217</v>
      </c>
      <c r="C123" s="14" t="s">
        <v>243</v>
      </c>
      <c r="D123" s="14" t="s">
        <v>63</v>
      </c>
      <c r="E123" s="5" t="s">
        <v>45</v>
      </c>
      <c r="F123" s="5" t="s">
        <v>121</v>
      </c>
      <c r="G123" s="14" t="s">
        <v>72</v>
      </c>
      <c r="H123" s="26">
        <v>1500</v>
      </c>
      <c r="I123" s="6">
        <v>0</v>
      </c>
      <c r="J123" s="6">
        <v>89959076</v>
      </c>
      <c r="K123" s="14" t="s">
        <v>48</v>
      </c>
      <c r="L123" s="14" t="s">
        <v>122</v>
      </c>
    </row>
    <row r="124" spans="1:12">
      <c r="A124" s="17">
        <v>120</v>
      </c>
      <c r="B124" s="17" t="s">
        <v>217</v>
      </c>
      <c r="C124" s="17" t="s">
        <v>243</v>
      </c>
      <c r="D124" s="17" t="s">
        <v>63</v>
      </c>
      <c r="E124" s="8" t="s">
        <v>46</v>
      </c>
      <c r="F124" s="8" t="s">
        <v>123</v>
      </c>
      <c r="G124" s="17" t="s">
        <v>72</v>
      </c>
      <c r="H124" s="31">
        <v>415</v>
      </c>
      <c r="I124" s="9">
        <v>0</v>
      </c>
      <c r="J124" s="9">
        <v>89958661</v>
      </c>
      <c r="K124" s="17" t="s">
        <v>48</v>
      </c>
      <c r="L124" s="17" t="s">
        <v>124</v>
      </c>
    </row>
    <row r="125" spans="1:12">
      <c r="A125" s="14">
        <v>121</v>
      </c>
      <c r="B125" s="14" t="s">
        <v>217</v>
      </c>
      <c r="C125" s="14" t="s">
        <v>244</v>
      </c>
      <c r="D125" s="14" t="s">
        <v>63</v>
      </c>
      <c r="E125" s="5" t="s">
        <v>31</v>
      </c>
      <c r="F125" s="5" t="s">
        <v>245</v>
      </c>
      <c r="G125" s="14" t="s">
        <v>65</v>
      </c>
      <c r="H125" s="6">
        <v>0</v>
      </c>
      <c r="I125" s="33">
        <v>14894000</v>
      </c>
      <c r="J125" s="6">
        <v>104852661</v>
      </c>
      <c r="K125" s="14" t="s">
        <v>66</v>
      </c>
      <c r="L125" s="14" t="s">
        <v>67</v>
      </c>
    </row>
    <row r="126" spans="1:12">
      <c r="A126" s="17">
        <v>122</v>
      </c>
      <c r="B126" s="17" t="s">
        <v>217</v>
      </c>
      <c r="C126" s="17" t="s">
        <v>246</v>
      </c>
      <c r="D126" s="17" t="s">
        <v>63</v>
      </c>
      <c r="E126" s="8" t="s">
        <v>37</v>
      </c>
      <c r="F126" s="8" t="s">
        <v>247</v>
      </c>
      <c r="G126" s="17" t="s">
        <v>72</v>
      </c>
      <c r="H126" s="31">
        <v>50000000</v>
      </c>
      <c r="I126" s="9">
        <v>0</v>
      </c>
      <c r="J126" s="9">
        <v>54852661</v>
      </c>
      <c r="K126" s="17" t="s">
        <v>77</v>
      </c>
      <c r="L126" s="17" t="s">
        <v>74</v>
      </c>
    </row>
    <row r="127" spans="1:12">
      <c r="A127" s="14">
        <v>123</v>
      </c>
      <c r="B127" s="14" t="s">
        <v>217</v>
      </c>
      <c r="C127" s="14" t="s">
        <v>246</v>
      </c>
      <c r="D127" s="14" t="s">
        <v>63</v>
      </c>
      <c r="E127" s="5" t="s">
        <v>45</v>
      </c>
      <c r="F127" s="5" t="s">
        <v>247</v>
      </c>
      <c r="G127" s="14" t="s">
        <v>72</v>
      </c>
      <c r="H127" s="26">
        <v>6500</v>
      </c>
      <c r="I127" s="6">
        <v>0</v>
      </c>
      <c r="J127" s="6">
        <v>54846161</v>
      </c>
      <c r="K127" s="14" t="s">
        <v>77</v>
      </c>
      <c r="L127" s="14" t="s">
        <v>74</v>
      </c>
    </row>
    <row r="128" spans="1:12">
      <c r="A128" s="17">
        <v>124</v>
      </c>
      <c r="B128" s="17" t="s">
        <v>217</v>
      </c>
      <c r="C128" s="17" t="s">
        <v>248</v>
      </c>
      <c r="D128" s="17" t="s">
        <v>63</v>
      </c>
      <c r="E128" s="8" t="s">
        <v>41</v>
      </c>
      <c r="F128" s="8" t="s">
        <v>249</v>
      </c>
      <c r="G128" s="17" t="s">
        <v>72</v>
      </c>
      <c r="H128" s="31">
        <v>15000000</v>
      </c>
      <c r="I128" s="9">
        <v>0</v>
      </c>
      <c r="J128" s="9">
        <v>39846161</v>
      </c>
      <c r="K128" s="17" t="s">
        <v>95</v>
      </c>
      <c r="L128" s="17" t="s">
        <v>74</v>
      </c>
    </row>
    <row r="129" spans="1:12">
      <c r="A129" s="14">
        <v>125</v>
      </c>
      <c r="B129" s="14" t="s">
        <v>217</v>
      </c>
      <c r="C129" s="14" t="s">
        <v>250</v>
      </c>
      <c r="D129" s="14" t="s">
        <v>63</v>
      </c>
      <c r="E129" s="5" t="s">
        <v>41</v>
      </c>
      <c r="F129" s="5" t="s">
        <v>251</v>
      </c>
      <c r="G129" s="14" t="s">
        <v>72</v>
      </c>
      <c r="H129" s="26">
        <v>7500000</v>
      </c>
      <c r="I129" s="6">
        <v>0</v>
      </c>
      <c r="J129" s="6">
        <v>32346161</v>
      </c>
      <c r="K129" s="14" t="s">
        <v>95</v>
      </c>
      <c r="L129" s="14" t="s">
        <v>74</v>
      </c>
    </row>
    <row r="130" spans="1:12">
      <c r="A130" s="17">
        <v>126</v>
      </c>
      <c r="B130" s="17" t="s">
        <v>217</v>
      </c>
      <c r="C130" s="17" t="s">
        <v>252</v>
      </c>
      <c r="D130" s="17" t="s">
        <v>63</v>
      </c>
      <c r="E130" s="8" t="s">
        <v>41</v>
      </c>
      <c r="F130" s="8" t="s">
        <v>253</v>
      </c>
      <c r="G130" s="17" t="s">
        <v>72</v>
      </c>
      <c r="H130" s="31">
        <v>2000000</v>
      </c>
      <c r="I130" s="9">
        <v>0</v>
      </c>
      <c r="J130" s="9">
        <v>30346161</v>
      </c>
      <c r="K130" s="17" t="s">
        <v>95</v>
      </c>
      <c r="L130" s="17" t="s">
        <v>74</v>
      </c>
    </row>
    <row r="131" spans="1:12">
      <c r="A131" s="14">
        <v>127</v>
      </c>
      <c r="B131" s="14" t="s">
        <v>217</v>
      </c>
      <c r="C131" s="14" t="s">
        <v>252</v>
      </c>
      <c r="D131" s="14" t="s">
        <v>63</v>
      </c>
      <c r="E131" s="5" t="s">
        <v>41</v>
      </c>
      <c r="F131" s="5" t="s">
        <v>253</v>
      </c>
      <c r="G131" s="14" t="s">
        <v>72</v>
      </c>
      <c r="H131" s="26">
        <v>6000000</v>
      </c>
      <c r="I131" s="6">
        <v>0</v>
      </c>
      <c r="J131" s="6">
        <v>24346161</v>
      </c>
      <c r="K131" s="14" t="s">
        <v>95</v>
      </c>
      <c r="L131" s="14" t="s">
        <v>74</v>
      </c>
    </row>
    <row r="132" spans="1:12">
      <c r="A132" s="17">
        <v>128</v>
      </c>
      <c r="B132" s="17" t="s">
        <v>217</v>
      </c>
      <c r="C132" s="17" t="s">
        <v>254</v>
      </c>
      <c r="D132" s="17" t="s">
        <v>63</v>
      </c>
      <c r="E132" s="8" t="s">
        <v>41</v>
      </c>
      <c r="F132" s="8" t="s">
        <v>255</v>
      </c>
      <c r="G132" s="17" t="s">
        <v>72</v>
      </c>
      <c r="H132" s="31">
        <v>14300000</v>
      </c>
      <c r="I132" s="9">
        <v>0</v>
      </c>
      <c r="J132" s="9">
        <v>10046161</v>
      </c>
      <c r="K132" s="17" t="s">
        <v>95</v>
      </c>
      <c r="L132" s="17" t="s">
        <v>100</v>
      </c>
    </row>
    <row r="133" spans="1:12">
      <c r="A133" s="14">
        <v>129</v>
      </c>
      <c r="B133" s="14" t="s">
        <v>217</v>
      </c>
      <c r="C133" s="14" t="s">
        <v>256</v>
      </c>
      <c r="D133" s="14" t="s">
        <v>63</v>
      </c>
      <c r="E133" s="5" t="s">
        <v>41</v>
      </c>
      <c r="F133" s="5" t="s">
        <v>257</v>
      </c>
      <c r="G133" s="14" t="s">
        <v>72</v>
      </c>
      <c r="H133" s="26">
        <v>5750000</v>
      </c>
      <c r="I133" s="6">
        <v>0</v>
      </c>
      <c r="J133" s="6">
        <v>4296161</v>
      </c>
      <c r="K133" s="14" t="s">
        <v>95</v>
      </c>
      <c r="L133" s="14" t="s">
        <v>100</v>
      </c>
    </row>
    <row r="134" spans="1:12">
      <c r="A134" s="22">
        <v>130</v>
      </c>
      <c r="B134" s="22" t="s">
        <v>217</v>
      </c>
      <c r="C134" s="22" t="s">
        <v>258</v>
      </c>
      <c r="D134" s="22" t="s">
        <v>63</v>
      </c>
      <c r="E134" s="23" t="s">
        <v>34</v>
      </c>
      <c r="F134" s="23" t="s">
        <v>109</v>
      </c>
      <c r="G134" s="22" t="s">
        <v>65</v>
      </c>
      <c r="H134" s="24">
        <v>0</v>
      </c>
      <c r="I134" s="25">
        <v>50000000</v>
      </c>
      <c r="J134" s="24">
        <v>54296161</v>
      </c>
      <c r="K134" s="22" t="s">
        <v>259</v>
      </c>
      <c r="L134" s="22" t="s">
        <v>96</v>
      </c>
    </row>
    <row r="135" spans="1:12">
      <c r="A135" s="14">
        <v>131</v>
      </c>
      <c r="B135" s="14" t="s">
        <v>217</v>
      </c>
      <c r="C135" s="14" t="s">
        <v>260</v>
      </c>
      <c r="D135" s="14" t="s">
        <v>63</v>
      </c>
      <c r="E135" s="5" t="s">
        <v>34</v>
      </c>
      <c r="F135" s="5" t="s">
        <v>261</v>
      </c>
      <c r="G135" s="14" t="s">
        <v>65</v>
      </c>
      <c r="H135" s="6">
        <v>0</v>
      </c>
      <c r="I135" s="33">
        <v>2000000</v>
      </c>
      <c r="J135" s="6">
        <v>56296161</v>
      </c>
      <c r="K135" s="14" t="s">
        <v>262</v>
      </c>
      <c r="L135" s="14" t="s">
        <v>96</v>
      </c>
    </row>
    <row r="136" spans="1:12">
      <c r="A136" s="17">
        <v>132</v>
      </c>
      <c r="B136" s="17" t="s">
        <v>217</v>
      </c>
      <c r="C136" s="17" t="s">
        <v>263</v>
      </c>
      <c r="D136" s="17" t="s">
        <v>63</v>
      </c>
      <c r="E136" s="8" t="s">
        <v>40</v>
      </c>
      <c r="F136" s="8" t="s">
        <v>105</v>
      </c>
      <c r="G136" s="17" t="s">
        <v>72</v>
      </c>
      <c r="H136" s="31">
        <v>46076678</v>
      </c>
      <c r="I136" s="9">
        <v>0</v>
      </c>
      <c r="J136" s="9">
        <v>10219483</v>
      </c>
      <c r="K136" s="17" t="s">
        <v>106</v>
      </c>
      <c r="L136" s="17" t="s">
        <v>107</v>
      </c>
    </row>
    <row r="137" spans="1:12">
      <c r="A137" s="22">
        <v>133</v>
      </c>
      <c r="B137" s="22" t="s">
        <v>217</v>
      </c>
      <c r="C137" s="22" t="s">
        <v>264</v>
      </c>
      <c r="D137" s="22" t="s">
        <v>63</v>
      </c>
      <c r="E137" s="23" t="s">
        <v>33</v>
      </c>
      <c r="F137" s="23" t="s">
        <v>265</v>
      </c>
      <c r="G137" s="22" t="s">
        <v>65</v>
      </c>
      <c r="H137" s="24">
        <v>0</v>
      </c>
      <c r="I137" s="25">
        <v>1500000000</v>
      </c>
      <c r="J137" s="24">
        <v>1510219483</v>
      </c>
      <c r="K137" s="22" t="s">
        <v>73</v>
      </c>
      <c r="L137" s="22" t="s">
        <v>240</v>
      </c>
    </row>
    <row r="138" spans="1:12">
      <c r="A138" s="27">
        <v>134</v>
      </c>
      <c r="B138" s="27" t="s">
        <v>217</v>
      </c>
      <c r="C138" s="27" t="s">
        <v>266</v>
      </c>
      <c r="D138" s="27" t="s">
        <v>63</v>
      </c>
      <c r="E138" s="28" t="s">
        <v>39</v>
      </c>
      <c r="F138" s="28" t="s">
        <v>267</v>
      </c>
      <c r="G138" s="27" t="s">
        <v>72</v>
      </c>
      <c r="H138" s="29">
        <v>1500000000</v>
      </c>
      <c r="I138" s="30">
        <v>0</v>
      </c>
      <c r="J138" s="30">
        <v>10219483</v>
      </c>
      <c r="K138" s="27" t="s">
        <v>73</v>
      </c>
      <c r="L138" s="27" t="s">
        <v>100</v>
      </c>
    </row>
    <row r="139" spans="1:12">
      <c r="A139" s="14">
        <v>135</v>
      </c>
      <c r="B139" s="14" t="s">
        <v>268</v>
      </c>
      <c r="C139" s="14" t="s">
        <v>269</v>
      </c>
      <c r="D139" s="14" t="s">
        <v>63</v>
      </c>
      <c r="E139" s="5" t="s">
        <v>31</v>
      </c>
      <c r="F139" s="5" t="s">
        <v>245</v>
      </c>
      <c r="G139" s="14" t="s">
        <v>65</v>
      </c>
      <c r="H139" s="6">
        <v>0</v>
      </c>
      <c r="I139" s="33">
        <v>4627108</v>
      </c>
      <c r="J139" s="6">
        <v>14846591</v>
      </c>
      <c r="K139" s="14" t="s">
        <v>66</v>
      </c>
      <c r="L139" s="14" t="s">
        <v>67</v>
      </c>
    </row>
    <row r="140" spans="1:12">
      <c r="A140" s="17">
        <v>136</v>
      </c>
      <c r="B140" s="17" t="s">
        <v>268</v>
      </c>
      <c r="C140" s="17" t="s">
        <v>270</v>
      </c>
      <c r="D140" s="17" t="s">
        <v>63</v>
      </c>
      <c r="E140" s="8" t="s">
        <v>31</v>
      </c>
      <c r="F140" s="8" t="s">
        <v>271</v>
      </c>
      <c r="G140" s="17" t="s">
        <v>65</v>
      </c>
      <c r="H140" s="9">
        <v>0</v>
      </c>
      <c r="I140" s="32">
        <v>45184500</v>
      </c>
      <c r="J140" s="9">
        <v>60031091</v>
      </c>
      <c r="K140" s="17" t="s">
        <v>66</v>
      </c>
      <c r="L140" s="17" t="s">
        <v>67</v>
      </c>
    </row>
    <row r="141" spans="1:12">
      <c r="A141" s="14">
        <v>137</v>
      </c>
      <c r="B141" s="14" t="s">
        <v>268</v>
      </c>
      <c r="C141" s="14" t="s">
        <v>272</v>
      </c>
      <c r="D141" s="14" t="s">
        <v>63</v>
      </c>
      <c r="E141" s="5" t="s">
        <v>36</v>
      </c>
      <c r="F141" s="5" t="s">
        <v>117</v>
      </c>
      <c r="G141" s="14" t="s">
        <v>65</v>
      </c>
      <c r="H141" s="6">
        <v>0</v>
      </c>
      <c r="I141" s="33">
        <v>5183</v>
      </c>
      <c r="J141" s="6">
        <v>60036274</v>
      </c>
      <c r="K141" s="14" t="s">
        <v>48</v>
      </c>
      <c r="L141" s="14" t="s">
        <v>118</v>
      </c>
    </row>
    <row r="142" spans="1:12">
      <c r="A142" s="17">
        <v>138</v>
      </c>
      <c r="B142" s="17" t="s">
        <v>268</v>
      </c>
      <c r="C142" s="17" t="s">
        <v>272</v>
      </c>
      <c r="D142" s="17" t="s">
        <v>63</v>
      </c>
      <c r="E142" s="8" t="s">
        <v>46</v>
      </c>
      <c r="F142" s="8" t="s">
        <v>123</v>
      </c>
      <c r="G142" s="17" t="s">
        <v>72</v>
      </c>
      <c r="H142" s="31">
        <v>1037</v>
      </c>
      <c r="I142" s="9">
        <v>0</v>
      </c>
      <c r="J142" s="9">
        <v>60035237</v>
      </c>
      <c r="K142" s="17" t="s">
        <v>48</v>
      </c>
      <c r="L142" s="17" t="s">
        <v>124</v>
      </c>
    </row>
    <row r="143" spans="1:12">
      <c r="A143" s="22">
        <v>139</v>
      </c>
      <c r="B143" s="22" t="s">
        <v>268</v>
      </c>
      <c r="C143" s="22" t="s">
        <v>273</v>
      </c>
      <c r="D143" s="22" t="s">
        <v>63</v>
      </c>
      <c r="E143" s="23" t="s">
        <v>35</v>
      </c>
      <c r="F143" s="23" t="s">
        <v>274</v>
      </c>
      <c r="G143" s="22" t="s">
        <v>65</v>
      </c>
      <c r="H143" s="24">
        <v>0</v>
      </c>
      <c r="I143" s="25">
        <v>55000000</v>
      </c>
      <c r="J143" s="24">
        <v>115035237</v>
      </c>
      <c r="K143" s="22" t="s">
        <v>73</v>
      </c>
      <c r="L143" s="22" t="s">
        <v>96</v>
      </c>
    </row>
    <row r="144" spans="1:12">
      <c r="A144" s="17">
        <v>140</v>
      </c>
      <c r="B144" s="17" t="s">
        <v>268</v>
      </c>
      <c r="C144" s="17" t="s">
        <v>275</v>
      </c>
      <c r="D144" s="17" t="s">
        <v>63</v>
      </c>
      <c r="E144" s="8" t="s">
        <v>40</v>
      </c>
      <c r="F144" s="8" t="s">
        <v>105</v>
      </c>
      <c r="G144" s="17" t="s">
        <v>72</v>
      </c>
      <c r="H144" s="31">
        <v>23349943</v>
      </c>
      <c r="I144" s="9">
        <v>0</v>
      </c>
      <c r="J144" s="9">
        <v>91685294</v>
      </c>
      <c r="K144" s="17" t="s">
        <v>106</v>
      </c>
      <c r="L144" s="17" t="s">
        <v>107</v>
      </c>
    </row>
    <row r="145" spans="1:12">
      <c r="A145" s="14">
        <v>141</v>
      </c>
      <c r="B145" s="14" t="s">
        <v>268</v>
      </c>
      <c r="C145" s="14" t="s">
        <v>276</v>
      </c>
      <c r="D145" s="14" t="s">
        <v>63</v>
      </c>
      <c r="E145" s="5" t="s">
        <v>31</v>
      </c>
      <c r="F145" s="5" t="s">
        <v>277</v>
      </c>
      <c r="G145" s="14" t="s">
        <v>65</v>
      </c>
      <c r="H145" s="6">
        <v>0</v>
      </c>
      <c r="I145" s="33">
        <v>32730000</v>
      </c>
      <c r="J145" s="6">
        <v>124415294</v>
      </c>
      <c r="K145" s="14" t="s">
        <v>66</v>
      </c>
      <c r="L145" s="14" t="s">
        <v>67</v>
      </c>
    </row>
    <row r="146" spans="1:12">
      <c r="A146" s="17">
        <v>142</v>
      </c>
      <c r="B146" s="17" t="s">
        <v>268</v>
      </c>
      <c r="C146" s="17" t="s">
        <v>278</v>
      </c>
      <c r="D146" s="17" t="s">
        <v>63</v>
      </c>
      <c r="E146" s="8" t="s">
        <v>39</v>
      </c>
      <c r="F146" s="8" t="s">
        <v>172</v>
      </c>
      <c r="G146" s="17" t="s">
        <v>72</v>
      </c>
      <c r="H146" s="31">
        <v>51805000</v>
      </c>
      <c r="I146" s="9">
        <v>0</v>
      </c>
      <c r="J146" s="9">
        <v>72610294</v>
      </c>
      <c r="K146" s="17" t="s">
        <v>130</v>
      </c>
      <c r="L146" s="17" t="s">
        <v>100</v>
      </c>
    </row>
    <row r="147" spans="1:12">
      <c r="A147" s="14">
        <v>143</v>
      </c>
      <c r="B147" s="14" t="s">
        <v>268</v>
      </c>
      <c r="C147" s="14" t="s">
        <v>279</v>
      </c>
      <c r="D147" s="14" t="s">
        <v>63</v>
      </c>
      <c r="E147" s="5" t="s">
        <v>34</v>
      </c>
      <c r="F147" s="5" t="s">
        <v>109</v>
      </c>
      <c r="G147" s="14" t="s">
        <v>65</v>
      </c>
      <c r="H147" s="6">
        <v>0</v>
      </c>
      <c r="I147" s="33">
        <v>20000000</v>
      </c>
      <c r="J147" s="6">
        <v>92610294</v>
      </c>
      <c r="K147" s="14" t="s">
        <v>280</v>
      </c>
      <c r="L147" s="14" t="s">
        <v>96</v>
      </c>
    </row>
    <row r="148" spans="1:12">
      <c r="A148" s="17">
        <v>144</v>
      </c>
      <c r="B148" s="17" t="s">
        <v>268</v>
      </c>
      <c r="C148" s="17" t="s">
        <v>281</v>
      </c>
      <c r="D148" s="17" t="s">
        <v>63</v>
      </c>
      <c r="E148" s="8" t="s">
        <v>42</v>
      </c>
      <c r="F148" s="8" t="s">
        <v>282</v>
      </c>
      <c r="G148" s="17" t="s">
        <v>72</v>
      </c>
      <c r="H148" s="31">
        <v>100000</v>
      </c>
      <c r="I148" s="9">
        <v>0</v>
      </c>
      <c r="J148" s="9">
        <v>92510294</v>
      </c>
      <c r="K148" s="17" t="s">
        <v>159</v>
      </c>
      <c r="L148" s="17" t="s">
        <v>74</v>
      </c>
    </row>
    <row r="149" spans="1:12">
      <c r="A149" s="14">
        <v>145</v>
      </c>
      <c r="B149" s="14" t="s">
        <v>268</v>
      </c>
      <c r="C149" s="14" t="s">
        <v>281</v>
      </c>
      <c r="D149" s="14" t="s">
        <v>63</v>
      </c>
      <c r="E149" s="5" t="s">
        <v>45</v>
      </c>
      <c r="F149" s="5" t="s">
        <v>282</v>
      </c>
      <c r="G149" s="14" t="s">
        <v>72</v>
      </c>
      <c r="H149" s="26">
        <v>1500</v>
      </c>
      <c r="I149" s="6">
        <v>0</v>
      </c>
      <c r="J149" s="6">
        <v>92508794</v>
      </c>
      <c r="K149" s="14" t="s">
        <v>159</v>
      </c>
      <c r="L149" s="14" t="s">
        <v>74</v>
      </c>
    </row>
    <row r="150" spans="1:12">
      <c r="A150" s="17">
        <v>146</v>
      </c>
      <c r="B150" s="17" t="s">
        <v>268</v>
      </c>
      <c r="C150" s="17" t="s">
        <v>283</v>
      </c>
      <c r="D150" s="17" t="s">
        <v>63</v>
      </c>
      <c r="E150" s="8" t="s">
        <v>42</v>
      </c>
      <c r="F150" s="8" t="s">
        <v>284</v>
      </c>
      <c r="G150" s="17" t="s">
        <v>72</v>
      </c>
      <c r="H150" s="31">
        <v>100000</v>
      </c>
      <c r="I150" s="9">
        <v>0</v>
      </c>
      <c r="J150" s="9">
        <v>92408794</v>
      </c>
      <c r="K150" s="17" t="s">
        <v>135</v>
      </c>
      <c r="L150" s="17" t="s">
        <v>74</v>
      </c>
    </row>
    <row r="151" spans="1:12">
      <c r="A151" s="14">
        <v>147</v>
      </c>
      <c r="B151" s="14" t="s">
        <v>268</v>
      </c>
      <c r="C151" s="14" t="s">
        <v>283</v>
      </c>
      <c r="D151" s="14" t="s">
        <v>63</v>
      </c>
      <c r="E151" s="5" t="s">
        <v>45</v>
      </c>
      <c r="F151" s="5" t="s">
        <v>284</v>
      </c>
      <c r="G151" s="14" t="s">
        <v>72</v>
      </c>
      <c r="H151" s="26">
        <v>1500</v>
      </c>
      <c r="I151" s="6">
        <v>0</v>
      </c>
      <c r="J151" s="6">
        <v>92407294</v>
      </c>
      <c r="K151" s="14" t="s">
        <v>135</v>
      </c>
      <c r="L151" s="14" t="s">
        <v>74</v>
      </c>
    </row>
    <row r="152" spans="1:12">
      <c r="A152" s="17">
        <v>148</v>
      </c>
      <c r="B152" s="17" t="s">
        <v>268</v>
      </c>
      <c r="C152" s="17" t="s">
        <v>285</v>
      </c>
      <c r="D152" s="17" t="s">
        <v>63</v>
      </c>
      <c r="E152" s="8" t="s">
        <v>44</v>
      </c>
      <c r="F152" s="8" t="s">
        <v>286</v>
      </c>
      <c r="G152" s="17" t="s">
        <v>72</v>
      </c>
      <c r="H152" s="31">
        <v>550000</v>
      </c>
      <c r="I152" s="9">
        <v>0</v>
      </c>
      <c r="J152" s="9">
        <v>91857294</v>
      </c>
      <c r="K152" s="17" t="s">
        <v>186</v>
      </c>
      <c r="L152" s="17" t="s">
        <v>100</v>
      </c>
    </row>
    <row r="153" spans="1:12">
      <c r="A153" s="14">
        <v>149</v>
      </c>
      <c r="B153" s="14" t="s">
        <v>268</v>
      </c>
      <c r="C153" s="14" t="s">
        <v>287</v>
      </c>
      <c r="D153" s="14" t="s">
        <v>63</v>
      </c>
      <c r="E153" s="5" t="s">
        <v>37</v>
      </c>
      <c r="F153" s="5" t="s">
        <v>288</v>
      </c>
      <c r="G153" s="14" t="s">
        <v>72</v>
      </c>
      <c r="H153" s="26">
        <v>100000</v>
      </c>
      <c r="I153" s="6">
        <v>0</v>
      </c>
      <c r="J153" s="6">
        <v>91757294</v>
      </c>
      <c r="K153" s="14" t="s">
        <v>135</v>
      </c>
      <c r="L153" s="14" t="s">
        <v>74</v>
      </c>
    </row>
    <row r="154" spans="1:12">
      <c r="A154" s="17">
        <v>150</v>
      </c>
      <c r="B154" s="17" t="s">
        <v>268</v>
      </c>
      <c r="C154" s="17" t="s">
        <v>287</v>
      </c>
      <c r="D154" s="17" t="s">
        <v>63</v>
      </c>
      <c r="E154" s="8" t="s">
        <v>45</v>
      </c>
      <c r="F154" s="8" t="s">
        <v>288</v>
      </c>
      <c r="G154" s="17" t="s">
        <v>72</v>
      </c>
      <c r="H154" s="31">
        <v>6500</v>
      </c>
      <c r="I154" s="9">
        <v>0</v>
      </c>
      <c r="J154" s="9">
        <v>91750794</v>
      </c>
      <c r="K154" s="17" t="s">
        <v>135</v>
      </c>
      <c r="L154" s="17" t="s">
        <v>74</v>
      </c>
    </row>
    <row r="155" spans="1:12">
      <c r="A155" s="14">
        <v>151</v>
      </c>
      <c r="B155" s="14" t="s">
        <v>268</v>
      </c>
      <c r="C155" s="14" t="s">
        <v>289</v>
      </c>
      <c r="D155" s="14" t="s">
        <v>63</v>
      </c>
      <c r="E155" s="5" t="s">
        <v>42</v>
      </c>
      <c r="F155" s="5" t="s">
        <v>178</v>
      </c>
      <c r="G155" s="14" t="s">
        <v>72</v>
      </c>
      <c r="H155" s="26">
        <v>500000</v>
      </c>
      <c r="I155" s="6">
        <v>0</v>
      </c>
      <c r="J155" s="6">
        <v>91250794</v>
      </c>
      <c r="K155" s="14" t="s">
        <v>146</v>
      </c>
      <c r="L155" s="14" t="s">
        <v>74</v>
      </c>
    </row>
    <row r="156" spans="1:12">
      <c r="A156" s="17">
        <v>152</v>
      </c>
      <c r="B156" s="17" t="s">
        <v>268</v>
      </c>
      <c r="C156" s="17" t="s">
        <v>289</v>
      </c>
      <c r="D156" s="17" t="s">
        <v>63</v>
      </c>
      <c r="E156" s="8" t="s">
        <v>45</v>
      </c>
      <c r="F156" s="8" t="s">
        <v>178</v>
      </c>
      <c r="G156" s="17" t="s">
        <v>72</v>
      </c>
      <c r="H156" s="31">
        <v>3000</v>
      </c>
      <c r="I156" s="9">
        <v>0</v>
      </c>
      <c r="J156" s="9">
        <v>91247794</v>
      </c>
      <c r="K156" s="17" t="s">
        <v>146</v>
      </c>
      <c r="L156" s="17" t="s">
        <v>74</v>
      </c>
    </row>
    <row r="157" spans="1:12">
      <c r="A157" s="22">
        <v>153</v>
      </c>
      <c r="B157" s="22" t="s">
        <v>290</v>
      </c>
      <c r="C157" s="22" t="s">
        <v>291</v>
      </c>
      <c r="D157" s="22" t="s">
        <v>63</v>
      </c>
      <c r="E157" s="23" t="s">
        <v>34</v>
      </c>
      <c r="F157" s="23" t="s">
        <v>292</v>
      </c>
      <c r="G157" s="22" t="s">
        <v>65</v>
      </c>
      <c r="H157" s="24">
        <v>0</v>
      </c>
      <c r="I157" s="25">
        <v>116000000</v>
      </c>
      <c r="J157" s="24">
        <v>207247794</v>
      </c>
      <c r="K157" s="22" t="s">
        <v>293</v>
      </c>
      <c r="L157" s="22" t="s">
        <v>96</v>
      </c>
    </row>
    <row r="158" spans="1:12">
      <c r="A158" s="27">
        <v>154</v>
      </c>
      <c r="B158" s="27" t="s">
        <v>290</v>
      </c>
      <c r="C158" s="27" t="s">
        <v>294</v>
      </c>
      <c r="D158" s="27" t="s">
        <v>63</v>
      </c>
      <c r="E158" s="28" t="s">
        <v>37</v>
      </c>
      <c r="F158" s="28" t="s">
        <v>295</v>
      </c>
      <c r="G158" s="27" t="s">
        <v>72</v>
      </c>
      <c r="H158" s="29">
        <v>100000000</v>
      </c>
      <c r="I158" s="30">
        <v>0</v>
      </c>
      <c r="J158" s="30">
        <v>107247794</v>
      </c>
      <c r="K158" s="27" t="s">
        <v>167</v>
      </c>
      <c r="L158" s="27" t="s">
        <v>74</v>
      </c>
    </row>
    <row r="159" spans="1:12">
      <c r="A159" s="14">
        <v>155</v>
      </c>
      <c r="B159" s="14" t="s">
        <v>290</v>
      </c>
      <c r="C159" s="14" t="s">
        <v>294</v>
      </c>
      <c r="D159" s="14" t="s">
        <v>63</v>
      </c>
      <c r="E159" s="5" t="s">
        <v>45</v>
      </c>
      <c r="F159" s="5" t="s">
        <v>295</v>
      </c>
      <c r="G159" s="14" t="s">
        <v>72</v>
      </c>
      <c r="H159" s="26">
        <v>6500</v>
      </c>
      <c r="I159" s="6">
        <v>0</v>
      </c>
      <c r="J159" s="6">
        <v>107241294</v>
      </c>
      <c r="K159" s="14" t="s">
        <v>167</v>
      </c>
      <c r="L159" s="14" t="s">
        <v>74</v>
      </c>
    </row>
    <row r="160" spans="1:12">
      <c r="A160" s="17">
        <v>156</v>
      </c>
      <c r="B160" s="17" t="s">
        <v>290</v>
      </c>
      <c r="C160" s="17" t="s">
        <v>296</v>
      </c>
      <c r="D160" s="17" t="s">
        <v>63</v>
      </c>
      <c r="E160" s="8" t="s">
        <v>37</v>
      </c>
      <c r="F160" s="8" t="s">
        <v>297</v>
      </c>
      <c r="G160" s="17" t="s">
        <v>72</v>
      </c>
      <c r="H160" s="31">
        <v>15830000</v>
      </c>
      <c r="I160" s="9">
        <v>0</v>
      </c>
      <c r="J160" s="9">
        <v>91411294</v>
      </c>
      <c r="K160" s="17" t="s">
        <v>135</v>
      </c>
      <c r="L160" s="17" t="s">
        <v>74</v>
      </c>
    </row>
    <row r="161" spans="1:12">
      <c r="A161" s="14">
        <v>157</v>
      </c>
      <c r="B161" s="14" t="s">
        <v>290</v>
      </c>
      <c r="C161" s="14" t="s">
        <v>296</v>
      </c>
      <c r="D161" s="14" t="s">
        <v>63</v>
      </c>
      <c r="E161" s="5" t="s">
        <v>45</v>
      </c>
      <c r="F161" s="5" t="s">
        <v>297</v>
      </c>
      <c r="G161" s="14" t="s">
        <v>72</v>
      </c>
      <c r="H161" s="26">
        <v>6500</v>
      </c>
      <c r="I161" s="6">
        <v>0</v>
      </c>
      <c r="J161" s="6">
        <v>91404794</v>
      </c>
      <c r="K161" s="14" t="s">
        <v>135</v>
      </c>
      <c r="L161" s="14" t="s">
        <v>74</v>
      </c>
    </row>
    <row r="162" spans="1:12">
      <c r="A162" s="22">
        <v>158</v>
      </c>
      <c r="B162" s="22" t="s">
        <v>290</v>
      </c>
      <c r="C162" s="22" t="s">
        <v>298</v>
      </c>
      <c r="D162" s="22" t="s">
        <v>63</v>
      </c>
      <c r="E162" s="23" t="s">
        <v>31</v>
      </c>
      <c r="F162" s="23" t="s">
        <v>299</v>
      </c>
      <c r="G162" s="22" t="s">
        <v>65</v>
      </c>
      <c r="H162" s="24">
        <v>0</v>
      </c>
      <c r="I162" s="25">
        <v>213928000</v>
      </c>
      <c r="J162" s="24">
        <v>305332794</v>
      </c>
      <c r="K162" s="22" t="s">
        <v>66</v>
      </c>
      <c r="L162" s="22" t="s">
        <v>67</v>
      </c>
    </row>
    <row r="163" spans="1:12">
      <c r="A163" s="27">
        <v>159</v>
      </c>
      <c r="B163" s="27" t="s">
        <v>290</v>
      </c>
      <c r="C163" s="27" t="s">
        <v>300</v>
      </c>
      <c r="D163" s="27" t="s">
        <v>63</v>
      </c>
      <c r="E163" s="28" t="s">
        <v>37</v>
      </c>
      <c r="F163" s="28" t="s">
        <v>301</v>
      </c>
      <c r="G163" s="27" t="s">
        <v>72</v>
      </c>
      <c r="H163" s="29">
        <v>100000000</v>
      </c>
      <c r="I163" s="30">
        <v>0</v>
      </c>
      <c r="J163" s="30">
        <v>205332794</v>
      </c>
      <c r="K163" s="27" t="s">
        <v>167</v>
      </c>
      <c r="L163" s="27" t="s">
        <v>74</v>
      </c>
    </row>
    <row r="164" spans="1:12">
      <c r="A164" s="17">
        <v>160</v>
      </c>
      <c r="B164" s="17" t="s">
        <v>290</v>
      </c>
      <c r="C164" s="17" t="s">
        <v>300</v>
      </c>
      <c r="D164" s="17" t="s">
        <v>63</v>
      </c>
      <c r="E164" s="8" t="s">
        <v>45</v>
      </c>
      <c r="F164" s="8" t="s">
        <v>301</v>
      </c>
      <c r="G164" s="17" t="s">
        <v>72</v>
      </c>
      <c r="H164" s="31">
        <v>6500</v>
      </c>
      <c r="I164" s="9">
        <v>0</v>
      </c>
      <c r="J164" s="9">
        <v>205326294</v>
      </c>
      <c r="K164" s="17" t="s">
        <v>167</v>
      </c>
      <c r="L164" s="17" t="s">
        <v>74</v>
      </c>
    </row>
    <row r="165" spans="1:12">
      <c r="A165" s="22">
        <v>161</v>
      </c>
      <c r="B165" s="22" t="s">
        <v>290</v>
      </c>
      <c r="C165" s="22" t="s">
        <v>302</v>
      </c>
      <c r="D165" s="22" t="s">
        <v>63</v>
      </c>
      <c r="E165" s="23" t="s">
        <v>34</v>
      </c>
      <c r="F165" s="23" t="s">
        <v>292</v>
      </c>
      <c r="G165" s="22" t="s">
        <v>65</v>
      </c>
      <c r="H165" s="24">
        <v>0</v>
      </c>
      <c r="I165" s="25">
        <v>113000000</v>
      </c>
      <c r="J165" s="24">
        <v>318326294</v>
      </c>
      <c r="K165" s="22" t="s">
        <v>303</v>
      </c>
      <c r="L165" s="22" t="s">
        <v>96</v>
      </c>
    </row>
    <row r="166" spans="1:12">
      <c r="A166" s="27">
        <v>162</v>
      </c>
      <c r="B166" s="27" t="s">
        <v>290</v>
      </c>
      <c r="C166" s="27" t="s">
        <v>304</v>
      </c>
      <c r="D166" s="27" t="s">
        <v>63</v>
      </c>
      <c r="E166" s="28" t="s">
        <v>37</v>
      </c>
      <c r="F166" s="28" t="s">
        <v>305</v>
      </c>
      <c r="G166" s="27" t="s">
        <v>72</v>
      </c>
      <c r="H166" s="29">
        <v>100000000</v>
      </c>
      <c r="I166" s="30">
        <v>0</v>
      </c>
      <c r="J166" s="30">
        <v>218326294</v>
      </c>
      <c r="K166" s="27" t="s">
        <v>80</v>
      </c>
      <c r="L166" s="27" t="s">
        <v>74</v>
      </c>
    </row>
    <row r="167" spans="1:12">
      <c r="A167" s="14">
        <v>163</v>
      </c>
      <c r="B167" s="14" t="s">
        <v>290</v>
      </c>
      <c r="C167" s="14" t="s">
        <v>304</v>
      </c>
      <c r="D167" s="14" t="s">
        <v>63</v>
      </c>
      <c r="E167" s="5" t="s">
        <v>45</v>
      </c>
      <c r="F167" s="5" t="s">
        <v>305</v>
      </c>
      <c r="G167" s="14" t="s">
        <v>72</v>
      </c>
      <c r="H167" s="26">
        <v>6500</v>
      </c>
      <c r="I167" s="6">
        <v>0</v>
      </c>
      <c r="J167" s="6">
        <v>218319794</v>
      </c>
      <c r="K167" s="14" t="s">
        <v>80</v>
      </c>
      <c r="L167" s="14" t="s">
        <v>74</v>
      </c>
    </row>
    <row r="168" spans="1:12">
      <c r="A168" s="17">
        <v>164</v>
      </c>
      <c r="B168" s="17" t="s">
        <v>290</v>
      </c>
      <c r="C168" s="17" t="s">
        <v>306</v>
      </c>
      <c r="D168" s="17" t="s">
        <v>63</v>
      </c>
      <c r="E168" s="8" t="s">
        <v>37</v>
      </c>
      <c r="F168" s="8" t="s">
        <v>307</v>
      </c>
      <c r="G168" s="17" t="s">
        <v>72</v>
      </c>
      <c r="H168" s="31">
        <v>13000000</v>
      </c>
      <c r="I168" s="9">
        <v>0</v>
      </c>
      <c r="J168" s="9">
        <v>205319794</v>
      </c>
      <c r="K168" s="17" t="s">
        <v>179</v>
      </c>
      <c r="L168" s="17" t="s">
        <v>74</v>
      </c>
    </row>
    <row r="169" spans="1:12">
      <c r="A169" s="14">
        <v>165</v>
      </c>
      <c r="B169" s="14" t="s">
        <v>290</v>
      </c>
      <c r="C169" s="14" t="s">
        <v>306</v>
      </c>
      <c r="D169" s="14" t="s">
        <v>63</v>
      </c>
      <c r="E169" s="5" t="s">
        <v>45</v>
      </c>
      <c r="F169" s="5" t="s">
        <v>307</v>
      </c>
      <c r="G169" s="14" t="s">
        <v>72</v>
      </c>
      <c r="H169" s="26">
        <v>6500</v>
      </c>
      <c r="I169" s="6">
        <v>0</v>
      </c>
      <c r="J169" s="6">
        <v>205313294</v>
      </c>
      <c r="K169" s="14" t="s">
        <v>179</v>
      </c>
      <c r="L169" s="14" t="s">
        <v>74</v>
      </c>
    </row>
    <row r="170" spans="1:12">
      <c r="A170" s="17">
        <v>166</v>
      </c>
      <c r="B170" s="17" t="s">
        <v>290</v>
      </c>
      <c r="C170" s="17" t="s">
        <v>308</v>
      </c>
      <c r="D170" s="17" t="s">
        <v>63</v>
      </c>
      <c r="E170" s="8" t="s">
        <v>40</v>
      </c>
      <c r="F170" s="8" t="s">
        <v>105</v>
      </c>
      <c r="G170" s="17" t="s">
        <v>72</v>
      </c>
      <c r="H170" s="31">
        <v>31788084</v>
      </c>
      <c r="I170" s="9">
        <v>0</v>
      </c>
      <c r="J170" s="9">
        <v>173525210</v>
      </c>
      <c r="K170" s="17" t="s">
        <v>106</v>
      </c>
      <c r="L170" s="17" t="s">
        <v>107</v>
      </c>
    </row>
    <row r="171" spans="1:12">
      <c r="A171" s="14">
        <v>167</v>
      </c>
      <c r="B171" s="14" t="s">
        <v>290</v>
      </c>
      <c r="C171" s="14" t="s">
        <v>308</v>
      </c>
      <c r="D171" s="14" t="s">
        <v>63</v>
      </c>
      <c r="E171" s="5" t="s">
        <v>40</v>
      </c>
      <c r="F171" s="5" t="s">
        <v>309</v>
      </c>
      <c r="G171" s="14" t="s">
        <v>72</v>
      </c>
      <c r="H171" s="26">
        <v>55866782</v>
      </c>
      <c r="I171" s="6">
        <v>0</v>
      </c>
      <c r="J171" s="6">
        <v>117658428</v>
      </c>
      <c r="K171" s="14" t="s">
        <v>106</v>
      </c>
      <c r="L171" s="14" t="s">
        <v>107</v>
      </c>
    </row>
    <row r="172" spans="1:12">
      <c r="A172" s="17">
        <v>168</v>
      </c>
      <c r="B172" s="17" t="s">
        <v>290</v>
      </c>
      <c r="C172" s="17" t="s">
        <v>310</v>
      </c>
      <c r="D172" s="17" t="s">
        <v>63</v>
      </c>
      <c r="E172" s="8" t="s">
        <v>42</v>
      </c>
      <c r="F172" s="8" t="s">
        <v>178</v>
      </c>
      <c r="G172" s="17" t="s">
        <v>72</v>
      </c>
      <c r="H172" s="31">
        <v>1000000</v>
      </c>
      <c r="I172" s="9">
        <v>0</v>
      </c>
      <c r="J172" s="9">
        <v>116658428</v>
      </c>
      <c r="K172" s="17" t="s">
        <v>167</v>
      </c>
      <c r="L172" s="17" t="s">
        <v>74</v>
      </c>
    </row>
    <row r="173" spans="1:12">
      <c r="A173" s="14">
        <v>169</v>
      </c>
      <c r="B173" s="14" t="s">
        <v>290</v>
      </c>
      <c r="C173" s="14" t="s">
        <v>310</v>
      </c>
      <c r="D173" s="14" t="s">
        <v>63</v>
      </c>
      <c r="E173" s="5" t="s">
        <v>45</v>
      </c>
      <c r="F173" s="5" t="s">
        <v>178</v>
      </c>
      <c r="G173" s="14" t="s">
        <v>72</v>
      </c>
      <c r="H173" s="26">
        <v>3000</v>
      </c>
      <c r="I173" s="6">
        <v>0</v>
      </c>
      <c r="J173" s="6">
        <v>116655428</v>
      </c>
      <c r="K173" s="14" t="s">
        <v>167</v>
      </c>
      <c r="L173" s="14" t="s">
        <v>74</v>
      </c>
    </row>
    <row r="174" spans="1:12">
      <c r="A174" s="17">
        <v>170</v>
      </c>
      <c r="B174" s="17" t="s">
        <v>290</v>
      </c>
      <c r="C174" s="17" t="s">
        <v>311</v>
      </c>
      <c r="D174" s="17" t="s">
        <v>63</v>
      </c>
      <c r="E174" s="8" t="s">
        <v>42</v>
      </c>
      <c r="F174" s="8" t="s">
        <v>181</v>
      </c>
      <c r="G174" s="17" t="s">
        <v>72</v>
      </c>
      <c r="H174" s="31">
        <v>1000000</v>
      </c>
      <c r="I174" s="9">
        <v>0</v>
      </c>
      <c r="J174" s="9">
        <v>115655428</v>
      </c>
      <c r="K174" s="17" t="s">
        <v>77</v>
      </c>
      <c r="L174" s="17" t="s">
        <v>74</v>
      </c>
    </row>
    <row r="175" spans="1:12">
      <c r="A175" s="14">
        <v>171</v>
      </c>
      <c r="B175" s="14" t="s">
        <v>290</v>
      </c>
      <c r="C175" s="14" t="s">
        <v>311</v>
      </c>
      <c r="D175" s="14" t="s">
        <v>63</v>
      </c>
      <c r="E175" s="5" t="s">
        <v>45</v>
      </c>
      <c r="F175" s="5" t="s">
        <v>181</v>
      </c>
      <c r="G175" s="14" t="s">
        <v>72</v>
      </c>
      <c r="H175" s="26">
        <v>3000</v>
      </c>
      <c r="I175" s="6">
        <v>0</v>
      </c>
      <c r="J175" s="6">
        <v>115652428</v>
      </c>
      <c r="K175" s="14" t="s">
        <v>77</v>
      </c>
      <c r="L175" s="14" t="s">
        <v>74</v>
      </c>
    </row>
    <row r="176" spans="1:12">
      <c r="A176" s="17">
        <v>172</v>
      </c>
      <c r="B176" s="17" t="s">
        <v>290</v>
      </c>
      <c r="C176" s="17" t="s">
        <v>312</v>
      </c>
      <c r="D176" s="17" t="s">
        <v>63</v>
      </c>
      <c r="E176" s="8" t="s">
        <v>42</v>
      </c>
      <c r="F176" s="8" t="s">
        <v>183</v>
      </c>
      <c r="G176" s="17" t="s">
        <v>72</v>
      </c>
      <c r="H176" s="31">
        <v>1000000</v>
      </c>
      <c r="I176" s="9">
        <v>0</v>
      </c>
      <c r="J176" s="9">
        <v>114652428</v>
      </c>
      <c r="K176" s="17" t="s">
        <v>167</v>
      </c>
      <c r="L176" s="17" t="s">
        <v>74</v>
      </c>
    </row>
    <row r="177" spans="1:12">
      <c r="A177" s="14">
        <v>173</v>
      </c>
      <c r="B177" s="14" t="s">
        <v>290</v>
      </c>
      <c r="C177" s="14" t="s">
        <v>312</v>
      </c>
      <c r="D177" s="14" t="s">
        <v>63</v>
      </c>
      <c r="E177" s="5" t="s">
        <v>45</v>
      </c>
      <c r="F177" s="5" t="s">
        <v>183</v>
      </c>
      <c r="G177" s="14" t="s">
        <v>72</v>
      </c>
      <c r="H177" s="26">
        <v>3000</v>
      </c>
      <c r="I177" s="6">
        <v>0</v>
      </c>
      <c r="J177" s="6">
        <v>114649428</v>
      </c>
      <c r="K177" s="14" t="s">
        <v>167</v>
      </c>
      <c r="L177" s="14" t="s">
        <v>74</v>
      </c>
    </row>
    <row r="178" spans="1:12">
      <c r="A178" s="17">
        <v>174</v>
      </c>
      <c r="B178" s="17" t="s">
        <v>290</v>
      </c>
      <c r="C178" s="17" t="s">
        <v>313</v>
      </c>
      <c r="D178" s="17" t="s">
        <v>63</v>
      </c>
      <c r="E178" s="8" t="s">
        <v>42</v>
      </c>
      <c r="F178" s="8" t="s">
        <v>282</v>
      </c>
      <c r="G178" s="17" t="s">
        <v>72</v>
      </c>
      <c r="H178" s="31">
        <v>100000</v>
      </c>
      <c r="I178" s="9">
        <v>0</v>
      </c>
      <c r="J178" s="9">
        <v>114549428</v>
      </c>
      <c r="K178" s="17" t="s">
        <v>146</v>
      </c>
      <c r="L178" s="17" t="s">
        <v>74</v>
      </c>
    </row>
    <row r="179" spans="1:12">
      <c r="A179" s="14">
        <v>175</v>
      </c>
      <c r="B179" s="14" t="s">
        <v>290</v>
      </c>
      <c r="C179" s="14" t="s">
        <v>313</v>
      </c>
      <c r="D179" s="14" t="s">
        <v>63</v>
      </c>
      <c r="E179" s="5" t="s">
        <v>45</v>
      </c>
      <c r="F179" s="5" t="s">
        <v>282</v>
      </c>
      <c r="G179" s="14" t="s">
        <v>72</v>
      </c>
      <c r="H179" s="26">
        <v>1500</v>
      </c>
      <c r="I179" s="6">
        <v>0</v>
      </c>
      <c r="J179" s="6">
        <v>114547928</v>
      </c>
      <c r="K179" s="14" t="s">
        <v>146</v>
      </c>
      <c r="L179" s="14" t="s">
        <v>74</v>
      </c>
    </row>
    <row r="180" spans="1:12">
      <c r="A180" s="17">
        <v>176</v>
      </c>
      <c r="B180" s="17" t="s">
        <v>290</v>
      </c>
      <c r="C180" s="17" t="s">
        <v>314</v>
      </c>
      <c r="D180" s="17" t="s">
        <v>63</v>
      </c>
      <c r="E180" s="8" t="s">
        <v>42</v>
      </c>
      <c r="F180" s="8" t="s">
        <v>284</v>
      </c>
      <c r="G180" s="17" t="s">
        <v>72</v>
      </c>
      <c r="H180" s="31">
        <v>50000</v>
      </c>
      <c r="I180" s="9">
        <v>0</v>
      </c>
      <c r="J180" s="9">
        <v>114497928</v>
      </c>
      <c r="K180" s="17" t="s">
        <v>167</v>
      </c>
      <c r="L180" s="17" t="s">
        <v>74</v>
      </c>
    </row>
    <row r="181" spans="1:12">
      <c r="A181" s="14">
        <v>177</v>
      </c>
      <c r="B181" s="14" t="s">
        <v>290</v>
      </c>
      <c r="C181" s="14" t="s">
        <v>314</v>
      </c>
      <c r="D181" s="14" t="s">
        <v>63</v>
      </c>
      <c r="E181" s="5" t="s">
        <v>45</v>
      </c>
      <c r="F181" s="5" t="s">
        <v>284</v>
      </c>
      <c r="G181" s="14" t="s">
        <v>72</v>
      </c>
      <c r="H181" s="26">
        <v>1500</v>
      </c>
      <c r="I181" s="6">
        <v>0</v>
      </c>
      <c r="J181" s="6">
        <v>114496428</v>
      </c>
      <c r="K181" s="14" t="s">
        <v>167</v>
      </c>
      <c r="L181" s="14" t="s">
        <v>74</v>
      </c>
    </row>
    <row r="182" spans="1:12">
      <c r="A182" s="17">
        <v>178</v>
      </c>
      <c r="B182" s="17" t="s">
        <v>290</v>
      </c>
      <c r="C182" s="17" t="s">
        <v>315</v>
      </c>
      <c r="D182" s="17" t="s">
        <v>63</v>
      </c>
      <c r="E182" s="8" t="s">
        <v>31</v>
      </c>
      <c r="F182" s="8" t="s">
        <v>316</v>
      </c>
      <c r="G182" s="17" t="s">
        <v>65</v>
      </c>
      <c r="H182" s="9">
        <v>0</v>
      </c>
      <c r="I182" s="32">
        <v>32674089</v>
      </c>
      <c r="J182" s="9">
        <v>147170517</v>
      </c>
      <c r="K182" s="17" t="s">
        <v>66</v>
      </c>
      <c r="L182" s="17" t="s">
        <v>67</v>
      </c>
    </row>
    <row r="183" spans="1:12">
      <c r="A183" s="14">
        <v>179</v>
      </c>
      <c r="B183" s="14" t="s">
        <v>290</v>
      </c>
      <c r="C183" s="14" t="s">
        <v>317</v>
      </c>
      <c r="D183" s="14" t="s">
        <v>63</v>
      </c>
      <c r="E183" s="5" t="s">
        <v>36</v>
      </c>
      <c r="F183" s="5" t="s">
        <v>117</v>
      </c>
      <c r="G183" s="14" t="s">
        <v>65</v>
      </c>
      <c r="H183" s="6">
        <v>0</v>
      </c>
      <c r="I183" s="33">
        <v>41494</v>
      </c>
      <c r="J183" s="6">
        <v>147212011</v>
      </c>
      <c r="K183" s="14" t="s">
        <v>48</v>
      </c>
      <c r="L183" s="14" t="s">
        <v>118</v>
      </c>
    </row>
    <row r="184" spans="1:12">
      <c r="A184" s="17">
        <v>180</v>
      </c>
      <c r="B184" s="17" t="s">
        <v>290</v>
      </c>
      <c r="C184" s="17" t="s">
        <v>317</v>
      </c>
      <c r="D184" s="17" t="s">
        <v>63</v>
      </c>
      <c r="E184" s="8" t="s">
        <v>46</v>
      </c>
      <c r="F184" s="8" t="s">
        <v>123</v>
      </c>
      <c r="G184" s="17" t="s">
        <v>72</v>
      </c>
      <c r="H184" s="31">
        <v>8299</v>
      </c>
      <c r="I184" s="9">
        <v>0</v>
      </c>
      <c r="J184" s="9">
        <v>147203712</v>
      </c>
      <c r="K184" s="17" t="s">
        <v>48</v>
      </c>
      <c r="L184" s="17" t="s">
        <v>124</v>
      </c>
    </row>
    <row r="185" spans="1:12">
      <c r="A185" s="14">
        <v>181</v>
      </c>
      <c r="B185" s="14" t="s">
        <v>290</v>
      </c>
      <c r="C185" s="14" t="s">
        <v>317</v>
      </c>
      <c r="D185" s="14" t="s">
        <v>63</v>
      </c>
      <c r="E185" s="5" t="s">
        <v>45</v>
      </c>
      <c r="F185" s="5" t="s">
        <v>121</v>
      </c>
      <c r="G185" s="14" t="s">
        <v>72</v>
      </c>
      <c r="H185" s="26">
        <v>1500</v>
      </c>
      <c r="I185" s="6">
        <v>0</v>
      </c>
      <c r="J185" s="6">
        <v>147202212</v>
      </c>
      <c r="K185" s="14" t="s">
        <v>48</v>
      </c>
      <c r="L185" s="14" t="s">
        <v>122</v>
      </c>
    </row>
    <row r="186" spans="1:12">
      <c r="A186" s="22">
        <v>182</v>
      </c>
      <c r="B186" s="22" t="s">
        <v>318</v>
      </c>
      <c r="C186" s="22" t="s">
        <v>319</v>
      </c>
      <c r="D186" s="22" t="s">
        <v>63</v>
      </c>
      <c r="E186" s="23" t="s">
        <v>31</v>
      </c>
      <c r="F186" s="23" t="s">
        <v>320</v>
      </c>
      <c r="G186" s="22" t="s">
        <v>65</v>
      </c>
      <c r="H186" s="24">
        <v>0</v>
      </c>
      <c r="I186" s="25">
        <v>120038200</v>
      </c>
      <c r="J186" s="24">
        <v>267240412</v>
      </c>
      <c r="K186" s="22" t="s">
        <v>66</v>
      </c>
      <c r="L186" s="22" t="s">
        <v>67</v>
      </c>
    </row>
    <row r="187" spans="1:12">
      <c r="A187" s="27">
        <v>183</v>
      </c>
      <c r="B187" s="27" t="s">
        <v>318</v>
      </c>
      <c r="C187" s="27" t="s">
        <v>321</v>
      </c>
      <c r="D187" s="27" t="s">
        <v>63</v>
      </c>
      <c r="E187" s="28" t="s">
        <v>37</v>
      </c>
      <c r="F187" s="28" t="s">
        <v>322</v>
      </c>
      <c r="G187" s="27" t="s">
        <v>72</v>
      </c>
      <c r="H187" s="29">
        <v>100000000</v>
      </c>
      <c r="I187" s="30">
        <v>0</v>
      </c>
      <c r="J187" s="30">
        <v>167240412</v>
      </c>
      <c r="K187" s="27" t="s">
        <v>159</v>
      </c>
      <c r="L187" s="27" t="s">
        <v>74</v>
      </c>
    </row>
    <row r="188" spans="1:12">
      <c r="A188" s="17">
        <v>184</v>
      </c>
      <c r="B188" s="17" t="s">
        <v>318</v>
      </c>
      <c r="C188" s="17" t="s">
        <v>321</v>
      </c>
      <c r="D188" s="17" t="s">
        <v>63</v>
      </c>
      <c r="E188" s="8" t="s">
        <v>45</v>
      </c>
      <c r="F188" s="8" t="s">
        <v>322</v>
      </c>
      <c r="G188" s="17" t="s">
        <v>72</v>
      </c>
      <c r="H188" s="31">
        <v>6500</v>
      </c>
      <c r="I188" s="9">
        <v>0</v>
      </c>
      <c r="J188" s="9">
        <v>167233912</v>
      </c>
      <c r="K188" s="17" t="s">
        <v>159</v>
      </c>
      <c r="L188" s="17" t="s">
        <v>74</v>
      </c>
    </row>
    <row r="189" spans="1:12">
      <c r="A189" s="22">
        <v>185</v>
      </c>
      <c r="B189" s="22" t="s">
        <v>318</v>
      </c>
      <c r="C189" s="22" t="s">
        <v>323</v>
      </c>
      <c r="D189" s="22" t="s">
        <v>63</v>
      </c>
      <c r="E189" s="23" t="s">
        <v>31</v>
      </c>
      <c r="F189" s="23" t="s">
        <v>320</v>
      </c>
      <c r="G189" s="22" t="s">
        <v>65</v>
      </c>
      <c r="H189" s="24">
        <v>0</v>
      </c>
      <c r="I189" s="25">
        <v>100377375</v>
      </c>
      <c r="J189" s="24">
        <v>267611287</v>
      </c>
      <c r="K189" s="22" t="s">
        <v>66</v>
      </c>
      <c r="L189" s="22" t="s">
        <v>67</v>
      </c>
    </row>
    <row r="190" spans="1:12">
      <c r="A190" s="17">
        <v>186</v>
      </c>
      <c r="B190" s="17" t="s">
        <v>318</v>
      </c>
      <c r="C190" s="17" t="s">
        <v>324</v>
      </c>
      <c r="D190" s="17" t="s">
        <v>63</v>
      </c>
      <c r="E190" s="8" t="s">
        <v>37</v>
      </c>
      <c r="F190" s="8" t="s">
        <v>325</v>
      </c>
      <c r="G190" s="17" t="s">
        <v>72</v>
      </c>
      <c r="H190" s="31">
        <v>70000000</v>
      </c>
      <c r="I190" s="9">
        <v>0</v>
      </c>
      <c r="J190" s="9">
        <v>197611287</v>
      </c>
      <c r="K190" s="17" t="s">
        <v>186</v>
      </c>
      <c r="L190" s="17" t="s">
        <v>74</v>
      </c>
    </row>
    <row r="191" spans="1:12">
      <c r="A191" s="14">
        <v>187</v>
      </c>
      <c r="B191" s="14" t="s">
        <v>318</v>
      </c>
      <c r="C191" s="14" t="s">
        <v>324</v>
      </c>
      <c r="D191" s="14" t="s">
        <v>63</v>
      </c>
      <c r="E191" s="5" t="s">
        <v>45</v>
      </c>
      <c r="F191" s="5" t="s">
        <v>325</v>
      </c>
      <c r="G191" s="14" t="s">
        <v>72</v>
      </c>
      <c r="H191" s="26">
        <v>6500</v>
      </c>
      <c r="I191" s="6">
        <v>0</v>
      </c>
      <c r="J191" s="6">
        <v>197604787</v>
      </c>
      <c r="K191" s="14" t="s">
        <v>186</v>
      </c>
      <c r="L191" s="14" t="s">
        <v>74</v>
      </c>
    </row>
    <row r="192" spans="1:12">
      <c r="A192" s="17">
        <v>188</v>
      </c>
      <c r="B192" s="17" t="s">
        <v>318</v>
      </c>
      <c r="C192" s="17" t="s">
        <v>326</v>
      </c>
      <c r="D192" s="17" t="s">
        <v>63</v>
      </c>
      <c r="E192" s="8" t="s">
        <v>43</v>
      </c>
      <c r="F192" s="8" t="s">
        <v>327</v>
      </c>
      <c r="G192" s="17" t="s">
        <v>72</v>
      </c>
      <c r="H192" s="31">
        <v>3408418</v>
      </c>
      <c r="I192" s="9">
        <v>0</v>
      </c>
      <c r="J192" s="9">
        <v>194196369</v>
      </c>
      <c r="K192" s="17" t="s">
        <v>186</v>
      </c>
      <c r="L192" s="17" t="s">
        <v>74</v>
      </c>
    </row>
    <row r="193" spans="1:12">
      <c r="A193" s="14">
        <v>189</v>
      </c>
      <c r="B193" s="14" t="s">
        <v>318</v>
      </c>
      <c r="C193" s="14" t="s">
        <v>328</v>
      </c>
      <c r="D193" s="14" t="s">
        <v>63</v>
      </c>
      <c r="E193" s="5" t="s">
        <v>42</v>
      </c>
      <c r="F193" s="5" t="s">
        <v>284</v>
      </c>
      <c r="G193" s="14" t="s">
        <v>72</v>
      </c>
      <c r="H193" s="26">
        <v>50000</v>
      </c>
      <c r="I193" s="6">
        <v>0</v>
      </c>
      <c r="J193" s="6">
        <v>194146369</v>
      </c>
      <c r="K193" s="14" t="s">
        <v>135</v>
      </c>
      <c r="L193" s="14" t="s">
        <v>74</v>
      </c>
    </row>
    <row r="194" spans="1:12">
      <c r="A194" s="17">
        <v>190</v>
      </c>
      <c r="B194" s="17" t="s">
        <v>318</v>
      </c>
      <c r="C194" s="17" t="s">
        <v>328</v>
      </c>
      <c r="D194" s="17" t="s">
        <v>63</v>
      </c>
      <c r="E194" s="8" t="s">
        <v>45</v>
      </c>
      <c r="F194" s="8" t="s">
        <v>284</v>
      </c>
      <c r="G194" s="17" t="s">
        <v>72</v>
      </c>
      <c r="H194" s="31">
        <v>1500</v>
      </c>
      <c r="I194" s="9">
        <v>0</v>
      </c>
      <c r="J194" s="9">
        <v>194144869</v>
      </c>
      <c r="K194" s="17" t="s">
        <v>135</v>
      </c>
      <c r="L194" s="17" t="s">
        <v>74</v>
      </c>
    </row>
    <row r="195" spans="1:12">
      <c r="A195" s="14">
        <v>191</v>
      </c>
      <c r="B195" s="14" t="s">
        <v>318</v>
      </c>
      <c r="C195" s="14" t="s">
        <v>329</v>
      </c>
      <c r="D195" s="14" t="s">
        <v>63</v>
      </c>
      <c r="E195" s="5" t="s">
        <v>37</v>
      </c>
      <c r="F195" s="5" t="s">
        <v>330</v>
      </c>
      <c r="G195" s="14" t="s">
        <v>72</v>
      </c>
      <c r="H195" s="26">
        <v>100000</v>
      </c>
      <c r="I195" s="6">
        <v>0</v>
      </c>
      <c r="J195" s="6">
        <v>194044869</v>
      </c>
      <c r="K195" s="14" t="s">
        <v>80</v>
      </c>
      <c r="L195" s="14" t="s">
        <v>74</v>
      </c>
    </row>
    <row r="196" spans="1:12">
      <c r="A196" s="17">
        <v>192</v>
      </c>
      <c r="B196" s="17" t="s">
        <v>318</v>
      </c>
      <c r="C196" s="17" t="s">
        <v>329</v>
      </c>
      <c r="D196" s="17" t="s">
        <v>63</v>
      </c>
      <c r="E196" s="8" t="s">
        <v>45</v>
      </c>
      <c r="F196" s="8" t="s">
        <v>330</v>
      </c>
      <c r="G196" s="17" t="s">
        <v>72</v>
      </c>
      <c r="H196" s="31">
        <v>6500</v>
      </c>
      <c r="I196" s="9">
        <v>0</v>
      </c>
      <c r="J196" s="9">
        <v>194038369</v>
      </c>
      <c r="K196" s="17" t="s">
        <v>80</v>
      </c>
      <c r="L196" s="17" t="s">
        <v>74</v>
      </c>
    </row>
    <row r="197" spans="1:12">
      <c r="A197" s="14">
        <v>193</v>
      </c>
      <c r="B197" s="14" t="s">
        <v>318</v>
      </c>
      <c r="C197" s="14" t="s">
        <v>331</v>
      </c>
      <c r="D197" s="14" t="s">
        <v>63</v>
      </c>
      <c r="E197" s="5" t="s">
        <v>37</v>
      </c>
      <c r="F197" s="5" t="s">
        <v>332</v>
      </c>
      <c r="G197" s="14" t="s">
        <v>72</v>
      </c>
      <c r="H197" s="26">
        <v>100000</v>
      </c>
      <c r="I197" s="6">
        <v>0</v>
      </c>
      <c r="J197" s="6">
        <v>193938369</v>
      </c>
      <c r="K197" s="14" t="s">
        <v>87</v>
      </c>
      <c r="L197" s="14" t="s">
        <v>74</v>
      </c>
    </row>
    <row r="198" spans="1:12">
      <c r="A198" s="17">
        <v>194</v>
      </c>
      <c r="B198" s="17" t="s">
        <v>318</v>
      </c>
      <c r="C198" s="17" t="s">
        <v>331</v>
      </c>
      <c r="D198" s="17" t="s">
        <v>63</v>
      </c>
      <c r="E198" s="8" t="s">
        <v>45</v>
      </c>
      <c r="F198" s="8" t="s">
        <v>332</v>
      </c>
      <c r="G198" s="17" t="s">
        <v>72</v>
      </c>
      <c r="H198" s="31">
        <v>6500</v>
      </c>
      <c r="I198" s="9">
        <v>0</v>
      </c>
      <c r="J198" s="9">
        <v>193931869</v>
      </c>
      <c r="K198" s="17" t="s">
        <v>87</v>
      </c>
      <c r="L198" s="17" t="s">
        <v>74</v>
      </c>
    </row>
    <row r="199" spans="1:12">
      <c r="A199" s="22">
        <v>195</v>
      </c>
      <c r="B199" s="22" t="s">
        <v>318</v>
      </c>
      <c r="C199" s="22" t="s">
        <v>333</v>
      </c>
      <c r="D199" s="22" t="s">
        <v>63</v>
      </c>
      <c r="E199" s="23" t="s">
        <v>31</v>
      </c>
      <c r="F199" s="23" t="s">
        <v>334</v>
      </c>
      <c r="G199" s="22" t="s">
        <v>65</v>
      </c>
      <c r="H199" s="24">
        <v>0</v>
      </c>
      <c r="I199" s="25">
        <v>63110000</v>
      </c>
      <c r="J199" s="24">
        <v>257041869</v>
      </c>
      <c r="K199" s="22" t="s">
        <v>66</v>
      </c>
      <c r="L199" s="22" t="s">
        <v>67</v>
      </c>
    </row>
    <row r="200" spans="1:12">
      <c r="A200" s="22">
        <v>196</v>
      </c>
      <c r="B200" s="22" t="s">
        <v>318</v>
      </c>
      <c r="C200" s="22" t="s">
        <v>335</v>
      </c>
      <c r="D200" s="22" t="s">
        <v>63</v>
      </c>
      <c r="E200" s="23" t="s">
        <v>31</v>
      </c>
      <c r="F200" s="23" t="s">
        <v>336</v>
      </c>
      <c r="G200" s="22" t="s">
        <v>65</v>
      </c>
      <c r="H200" s="24">
        <v>0</v>
      </c>
      <c r="I200" s="25">
        <v>145563000</v>
      </c>
      <c r="J200" s="24">
        <v>402604869</v>
      </c>
      <c r="K200" s="22" t="s">
        <v>66</v>
      </c>
      <c r="L200" s="22" t="s">
        <v>67</v>
      </c>
    </row>
    <row r="201" spans="1:12">
      <c r="A201" s="14">
        <v>197</v>
      </c>
      <c r="B201" s="14" t="s">
        <v>318</v>
      </c>
      <c r="C201" s="14" t="s">
        <v>337</v>
      </c>
      <c r="D201" s="14" t="s">
        <v>63</v>
      </c>
      <c r="E201" s="5" t="s">
        <v>31</v>
      </c>
      <c r="F201" s="5" t="s">
        <v>338</v>
      </c>
      <c r="G201" s="14" t="s">
        <v>65</v>
      </c>
      <c r="H201" s="6">
        <v>0</v>
      </c>
      <c r="I201" s="33">
        <v>13326000</v>
      </c>
      <c r="J201" s="6">
        <v>415930869</v>
      </c>
      <c r="K201" s="14" t="s">
        <v>66</v>
      </c>
      <c r="L201" s="14" t="s">
        <v>67</v>
      </c>
    </row>
    <row r="202" spans="1:12">
      <c r="A202" s="27">
        <v>198</v>
      </c>
      <c r="B202" s="27" t="s">
        <v>318</v>
      </c>
      <c r="C202" s="27" t="s">
        <v>339</v>
      </c>
      <c r="D202" s="27" t="s">
        <v>63</v>
      </c>
      <c r="E202" s="28" t="s">
        <v>37</v>
      </c>
      <c r="F202" s="28" t="s">
        <v>340</v>
      </c>
      <c r="G202" s="27" t="s">
        <v>72</v>
      </c>
      <c r="H202" s="29">
        <v>100000000</v>
      </c>
      <c r="I202" s="30">
        <v>0</v>
      </c>
      <c r="J202" s="30">
        <v>315930869</v>
      </c>
      <c r="K202" s="27" t="s">
        <v>77</v>
      </c>
      <c r="L202" s="27" t="s">
        <v>74</v>
      </c>
    </row>
    <row r="203" spans="1:12">
      <c r="A203" s="14">
        <v>199</v>
      </c>
      <c r="B203" s="14" t="s">
        <v>318</v>
      </c>
      <c r="C203" s="14" t="s">
        <v>339</v>
      </c>
      <c r="D203" s="14" t="s">
        <v>63</v>
      </c>
      <c r="E203" s="5" t="s">
        <v>45</v>
      </c>
      <c r="F203" s="5" t="s">
        <v>340</v>
      </c>
      <c r="G203" s="14" t="s">
        <v>72</v>
      </c>
      <c r="H203" s="26">
        <v>6500</v>
      </c>
      <c r="I203" s="6">
        <v>0</v>
      </c>
      <c r="J203" s="6">
        <v>315924369</v>
      </c>
      <c r="K203" s="14" t="s">
        <v>77</v>
      </c>
      <c r="L203" s="14" t="s">
        <v>74</v>
      </c>
    </row>
    <row r="204" spans="1:12">
      <c r="A204" s="27">
        <v>200</v>
      </c>
      <c r="B204" s="27" t="s">
        <v>318</v>
      </c>
      <c r="C204" s="27" t="s">
        <v>341</v>
      </c>
      <c r="D204" s="27" t="s">
        <v>63</v>
      </c>
      <c r="E204" s="28" t="s">
        <v>37</v>
      </c>
      <c r="F204" s="28" t="s">
        <v>342</v>
      </c>
      <c r="G204" s="27" t="s">
        <v>72</v>
      </c>
      <c r="H204" s="29">
        <v>100000000</v>
      </c>
      <c r="I204" s="30">
        <v>0</v>
      </c>
      <c r="J204" s="30">
        <v>215924369</v>
      </c>
      <c r="K204" s="27" t="s">
        <v>159</v>
      </c>
      <c r="L204" s="27" t="s">
        <v>74</v>
      </c>
    </row>
    <row r="205" spans="1:12">
      <c r="A205" s="14">
        <v>201</v>
      </c>
      <c r="B205" s="14" t="s">
        <v>318</v>
      </c>
      <c r="C205" s="14" t="s">
        <v>341</v>
      </c>
      <c r="D205" s="14" t="s">
        <v>63</v>
      </c>
      <c r="E205" s="5" t="s">
        <v>45</v>
      </c>
      <c r="F205" s="5" t="s">
        <v>342</v>
      </c>
      <c r="G205" s="14" t="s">
        <v>72</v>
      </c>
      <c r="H205" s="26">
        <v>6500</v>
      </c>
      <c r="I205" s="6">
        <v>0</v>
      </c>
      <c r="J205" s="6">
        <v>215917869</v>
      </c>
      <c r="K205" s="14" t="s">
        <v>159</v>
      </c>
      <c r="L205" s="14" t="s">
        <v>74</v>
      </c>
    </row>
    <row r="206" spans="1:12">
      <c r="A206" s="17">
        <v>202</v>
      </c>
      <c r="B206" s="17" t="s">
        <v>318</v>
      </c>
      <c r="C206" s="17" t="s">
        <v>343</v>
      </c>
      <c r="D206" s="17" t="s">
        <v>63</v>
      </c>
      <c r="E206" s="8" t="s">
        <v>37</v>
      </c>
      <c r="F206" s="8" t="s">
        <v>344</v>
      </c>
      <c r="G206" s="17" t="s">
        <v>72</v>
      </c>
      <c r="H206" s="31">
        <v>22000000</v>
      </c>
      <c r="I206" s="9">
        <v>0</v>
      </c>
      <c r="J206" s="9">
        <v>193917869</v>
      </c>
      <c r="K206" s="17" t="s">
        <v>77</v>
      </c>
      <c r="L206" s="17" t="s">
        <v>74</v>
      </c>
    </row>
    <row r="207" spans="1:12">
      <c r="A207" s="14">
        <v>203</v>
      </c>
      <c r="B207" s="14" t="s">
        <v>318</v>
      </c>
      <c r="C207" s="14" t="s">
        <v>343</v>
      </c>
      <c r="D207" s="14" t="s">
        <v>63</v>
      </c>
      <c r="E207" s="5" t="s">
        <v>45</v>
      </c>
      <c r="F207" s="5" t="s">
        <v>344</v>
      </c>
      <c r="G207" s="14" t="s">
        <v>72</v>
      </c>
      <c r="H207" s="26">
        <v>6500</v>
      </c>
      <c r="I207" s="6">
        <v>0</v>
      </c>
      <c r="J207" s="6">
        <v>193911369</v>
      </c>
      <c r="K207" s="14" t="s">
        <v>77</v>
      </c>
      <c r="L207" s="14" t="s">
        <v>74</v>
      </c>
    </row>
    <row r="208" spans="1:12">
      <c r="A208" s="17">
        <v>204</v>
      </c>
      <c r="B208" s="17" t="s">
        <v>318</v>
      </c>
      <c r="C208" s="17" t="s">
        <v>345</v>
      </c>
      <c r="D208" s="17" t="s">
        <v>63</v>
      </c>
      <c r="E208" s="8" t="s">
        <v>40</v>
      </c>
      <c r="F208" s="8" t="s">
        <v>309</v>
      </c>
      <c r="G208" s="17" t="s">
        <v>72</v>
      </c>
      <c r="H208" s="31">
        <v>55079583</v>
      </c>
      <c r="I208" s="9">
        <v>0</v>
      </c>
      <c r="J208" s="9">
        <v>138831786</v>
      </c>
      <c r="K208" s="17" t="s">
        <v>106</v>
      </c>
      <c r="L208" s="17" t="s">
        <v>107</v>
      </c>
    </row>
    <row r="209" spans="1:12">
      <c r="A209" s="14">
        <v>205</v>
      </c>
      <c r="B209" s="14" t="s">
        <v>318</v>
      </c>
      <c r="C209" s="14" t="s">
        <v>345</v>
      </c>
      <c r="D209" s="14" t="s">
        <v>63</v>
      </c>
      <c r="E209" s="5" t="s">
        <v>40</v>
      </c>
      <c r="F209" s="5" t="s">
        <v>105</v>
      </c>
      <c r="G209" s="14" t="s">
        <v>72</v>
      </c>
      <c r="H209" s="26">
        <v>30764833</v>
      </c>
      <c r="I209" s="6">
        <v>0</v>
      </c>
      <c r="J209" s="6">
        <v>108066953</v>
      </c>
      <c r="K209" s="14" t="s">
        <v>106</v>
      </c>
      <c r="L209" s="14" t="s">
        <v>107</v>
      </c>
    </row>
    <row r="210" spans="1:12">
      <c r="A210" s="17">
        <v>206</v>
      </c>
      <c r="B210" s="17" t="s">
        <v>318</v>
      </c>
      <c r="C210" s="17" t="s">
        <v>346</v>
      </c>
      <c r="D210" s="17" t="s">
        <v>63</v>
      </c>
      <c r="E210" s="8" t="s">
        <v>31</v>
      </c>
      <c r="F210" s="8" t="s">
        <v>347</v>
      </c>
      <c r="G210" s="17" t="s">
        <v>65</v>
      </c>
      <c r="H210" s="9">
        <v>0</v>
      </c>
      <c r="I210" s="32">
        <v>10778000</v>
      </c>
      <c r="J210" s="9">
        <v>118844953</v>
      </c>
      <c r="K210" s="17" t="s">
        <v>66</v>
      </c>
      <c r="L210" s="17" t="s">
        <v>67</v>
      </c>
    </row>
    <row r="211" spans="1:12">
      <c r="A211" s="14">
        <v>207</v>
      </c>
      <c r="B211" s="14" t="s">
        <v>318</v>
      </c>
      <c r="C211" s="14" t="s">
        <v>348</v>
      </c>
      <c r="D211" s="14" t="s">
        <v>63</v>
      </c>
      <c r="E211" s="5" t="s">
        <v>36</v>
      </c>
      <c r="F211" s="5" t="s">
        <v>117</v>
      </c>
      <c r="G211" s="14" t="s">
        <v>65</v>
      </c>
      <c r="H211" s="6">
        <v>0</v>
      </c>
      <c r="I211" s="33">
        <v>79450</v>
      </c>
      <c r="J211" s="6">
        <v>118924403</v>
      </c>
      <c r="K211" s="14" t="s">
        <v>48</v>
      </c>
      <c r="L211" s="14" t="s">
        <v>118</v>
      </c>
    </row>
    <row r="212" spans="1:12">
      <c r="A212" s="17">
        <v>208</v>
      </c>
      <c r="B212" s="17" t="s">
        <v>318</v>
      </c>
      <c r="C212" s="17" t="s">
        <v>348</v>
      </c>
      <c r="D212" s="17" t="s">
        <v>63</v>
      </c>
      <c r="E212" s="8" t="s">
        <v>46</v>
      </c>
      <c r="F212" s="8" t="s">
        <v>123</v>
      </c>
      <c r="G212" s="17" t="s">
        <v>72</v>
      </c>
      <c r="H212" s="31">
        <v>15890</v>
      </c>
      <c r="I212" s="9">
        <v>0</v>
      </c>
      <c r="J212" s="9">
        <v>118908513</v>
      </c>
      <c r="K212" s="17" t="s">
        <v>48</v>
      </c>
      <c r="L212" s="17" t="s">
        <v>124</v>
      </c>
    </row>
    <row r="213" spans="1:12">
      <c r="A213" s="14">
        <v>209</v>
      </c>
      <c r="B213" s="14" t="s">
        <v>318</v>
      </c>
      <c r="C213" s="14" t="s">
        <v>348</v>
      </c>
      <c r="D213" s="14" t="s">
        <v>63</v>
      </c>
      <c r="E213" s="5" t="s">
        <v>45</v>
      </c>
      <c r="F213" s="5" t="s">
        <v>121</v>
      </c>
      <c r="G213" s="14" t="s">
        <v>72</v>
      </c>
      <c r="H213" s="26">
        <v>1500</v>
      </c>
      <c r="I213" s="6">
        <v>0</v>
      </c>
      <c r="J213" s="6">
        <v>118907013</v>
      </c>
      <c r="K213" s="14" t="s">
        <v>48</v>
      </c>
      <c r="L213" s="14" t="s">
        <v>122</v>
      </c>
    </row>
    <row r="214" spans="1:12">
      <c r="A214" s="17">
        <v>210</v>
      </c>
      <c r="B214" s="17" t="s">
        <v>318</v>
      </c>
      <c r="C214" s="17" t="s">
        <v>349</v>
      </c>
      <c r="D214" s="17" t="s">
        <v>63</v>
      </c>
      <c r="E214" s="8" t="s">
        <v>31</v>
      </c>
      <c r="F214" s="8" t="s">
        <v>350</v>
      </c>
      <c r="G214" s="17" t="s">
        <v>65</v>
      </c>
      <c r="H214" s="9">
        <v>0</v>
      </c>
      <c r="I214" s="32">
        <v>2203000</v>
      </c>
      <c r="J214" s="9">
        <v>121110013</v>
      </c>
      <c r="K214" s="17" t="s">
        <v>66</v>
      </c>
      <c r="L214" s="17" t="s">
        <v>67</v>
      </c>
    </row>
    <row r="215" spans="1:12">
      <c r="A215" s="14">
        <v>211</v>
      </c>
      <c r="B215" s="14" t="s">
        <v>318</v>
      </c>
      <c r="C215" s="14" t="s">
        <v>351</v>
      </c>
      <c r="D215" s="14" t="s">
        <v>63</v>
      </c>
      <c r="E215" s="5" t="s">
        <v>31</v>
      </c>
      <c r="F215" s="5" t="s">
        <v>352</v>
      </c>
      <c r="G215" s="14" t="s">
        <v>65</v>
      </c>
      <c r="H215" s="6">
        <v>0</v>
      </c>
      <c r="I215" s="33">
        <v>33866800</v>
      </c>
      <c r="J215" s="6">
        <v>154976813</v>
      </c>
      <c r="K215" s="14" t="s">
        <v>66</v>
      </c>
      <c r="L215" s="14" t="s">
        <v>67</v>
      </c>
    </row>
    <row r="216" spans="1:12">
      <c r="A216" s="20"/>
      <c r="B216" s="20" t="s">
        <v>353</v>
      </c>
      <c r="C216" s="20" t="s">
        <v>48</v>
      </c>
      <c r="D216" s="20" t="s">
        <v>48</v>
      </c>
      <c r="E216" s="20" t="s">
        <v>48</v>
      </c>
      <c r="F216" s="20" t="s">
        <v>48</v>
      </c>
      <c r="G216" s="20" t="s">
        <v>48</v>
      </c>
      <c r="H216" s="12">
        <f>SUM(H5:H215)</f>
        <v>4527245202.4700003</v>
      </c>
      <c r="I216" s="12">
        <f>SUM(I5:I215)</f>
        <v>4680849241</v>
      </c>
      <c r="J216" s="12">
        <v>154976813</v>
      </c>
      <c r="K216" s="20" t="s">
        <v>48</v>
      </c>
      <c r="L216" s="20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8" customWidth="1"/>
    <col min="2" max="2" width="20" customWidth="1"/>
    <col min="3" max="4" width="22" customWidth="1"/>
    <col min="5" max="6" width="20" customWidth="1"/>
    <col min="7" max="7" width="12" customWidth="1"/>
    <col min="8" max="8" width="45" customWidth="1"/>
    <col min="9" max="9" width="22" customWidth="1"/>
    <col min="10" max="10" width="45" customWidth="1"/>
    <col min="11" max="11" width="22" customWidth="1"/>
  </cols>
  <sheetData>
    <row r="1" spans="1:11" ht="25.5">
      <c r="A1" s="1" t="s">
        <v>354</v>
      </c>
    </row>
    <row r="2" spans="1:11">
      <c r="A2" s="2" t="s">
        <v>355</v>
      </c>
    </row>
    <row r="4" spans="1:11">
      <c r="A4" s="4" t="s">
        <v>356</v>
      </c>
      <c r="B4" s="4" t="s">
        <v>357</v>
      </c>
      <c r="C4" s="4" t="s">
        <v>358</v>
      </c>
      <c r="D4" s="4" t="s">
        <v>359</v>
      </c>
      <c r="E4" s="4" t="s">
        <v>360</v>
      </c>
      <c r="F4" s="4" t="s">
        <v>361</v>
      </c>
      <c r="G4" s="4" t="s">
        <v>362</v>
      </c>
      <c r="H4" s="4" t="s">
        <v>363</v>
      </c>
      <c r="I4" s="4" t="s">
        <v>364</v>
      </c>
      <c r="J4" s="4" t="s">
        <v>365</v>
      </c>
      <c r="K4" s="4" t="s">
        <v>364</v>
      </c>
    </row>
    <row r="5" spans="1:11">
      <c r="A5" s="5" t="s">
        <v>15</v>
      </c>
      <c r="B5" s="6">
        <v>1372774.47</v>
      </c>
      <c r="C5" s="6">
        <f>SUMIFS('Detail Transaksi'!I:I, 'Detail Transaksi'!B:B, "2026-01")</f>
        <v>473115365</v>
      </c>
      <c r="D5" s="6">
        <f>SUMIFS('Detail Transaksi'!H:H, 'Detail Transaksi'!B:B, "2026-01")</f>
        <v>473341439</v>
      </c>
      <c r="E5" s="6">
        <f t="shared" ref="E5:E11" si="0">C5-D5</f>
        <v>-226074</v>
      </c>
      <c r="F5" s="6">
        <v>1146700.47</v>
      </c>
      <c r="G5" s="7">
        <v>34</v>
      </c>
      <c r="H5" s="5" t="s">
        <v>69</v>
      </c>
      <c r="I5" s="6">
        <v>117154200</v>
      </c>
      <c r="J5" s="5" t="s">
        <v>76</v>
      </c>
      <c r="K5" s="6">
        <v>100000000</v>
      </c>
    </row>
    <row r="6" spans="1:11">
      <c r="A6" s="8" t="s">
        <v>16</v>
      </c>
      <c r="B6" s="9">
        <v>1146700.47</v>
      </c>
      <c r="C6" s="9">
        <f>SUMIFS('Detail Transaksi'!I:I, 'Detail Transaksi'!B:B, "2026-02")</f>
        <v>536517008</v>
      </c>
      <c r="D6" s="9">
        <f>SUMIFS('Detail Transaksi'!H:H, 'Detail Transaksi'!B:B, "2026-02")</f>
        <v>536466203</v>
      </c>
      <c r="E6" s="9">
        <f t="shared" si="0"/>
        <v>50805</v>
      </c>
      <c r="F6" s="9">
        <v>1197505.47</v>
      </c>
      <c r="G6" s="10">
        <v>30</v>
      </c>
      <c r="H6" s="8" t="s">
        <v>69</v>
      </c>
      <c r="I6" s="9">
        <v>201570700</v>
      </c>
      <c r="J6" s="8" t="s">
        <v>141</v>
      </c>
      <c r="K6" s="9">
        <v>100000000</v>
      </c>
    </row>
    <row r="7" spans="1:11">
      <c r="A7" s="5" t="s">
        <v>17</v>
      </c>
      <c r="B7" s="6">
        <v>1197505.47</v>
      </c>
      <c r="C7" s="6">
        <f>SUMIFS('Detail Transaksi'!I:I, 'Detail Transaksi'!B:B, "2026-03")</f>
        <v>571817393</v>
      </c>
      <c r="D7" s="6">
        <f>SUMIFS('Detail Transaksi'!H:H, 'Detail Transaksi'!B:B, "2026-03")</f>
        <v>572656281</v>
      </c>
      <c r="E7" s="6">
        <f t="shared" si="0"/>
        <v>-838888</v>
      </c>
      <c r="F7" s="6">
        <v>358617.47</v>
      </c>
      <c r="G7" s="7">
        <v>35</v>
      </c>
      <c r="H7" s="5" t="s">
        <v>176</v>
      </c>
      <c r="I7" s="6">
        <v>131661000</v>
      </c>
      <c r="J7" s="5" t="s">
        <v>190</v>
      </c>
      <c r="K7" s="6">
        <v>150000000</v>
      </c>
    </row>
    <row r="8" spans="1:11">
      <c r="A8" s="8" t="s">
        <v>18</v>
      </c>
      <c r="B8" s="9">
        <v>358617.47</v>
      </c>
      <c r="C8" s="9">
        <f>SUMIFS('Detail Transaksi'!I:I, 'Detail Transaksi'!B:B, "2026-04")</f>
        <v>1976867276</v>
      </c>
      <c r="D8" s="9">
        <f>SUMIFS('Detail Transaksi'!H:H, 'Detail Transaksi'!B:B, "2026-04")</f>
        <v>1967006410.47</v>
      </c>
      <c r="E8" s="9">
        <f t="shared" si="0"/>
        <v>9860865.5299999714</v>
      </c>
      <c r="F8" s="9">
        <v>10219483</v>
      </c>
      <c r="G8" s="10">
        <v>35</v>
      </c>
      <c r="H8" s="8" t="s">
        <v>265</v>
      </c>
      <c r="I8" s="9">
        <v>1500000000</v>
      </c>
      <c r="J8" s="8" t="s">
        <v>267</v>
      </c>
      <c r="K8" s="9">
        <v>1500000000</v>
      </c>
    </row>
    <row r="9" spans="1:11">
      <c r="A9" s="5" t="s">
        <v>19</v>
      </c>
      <c r="B9" s="6">
        <v>10219483</v>
      </c>
      <c r="C9" s="6">
        <f>SUMIFS('Detail Transaksi'!I:I, 'Detail Transaksi'!B:B, "2026-05")</f>
        <v>157546791</v>
      </c>
      <c r="D9" s="6">
        <f>SUMIFS('Detail Transaksi'!H:H, 'Detail Transaksi'!B:B, "2026-05")</f>
        <v>76518480</v>
      </c>
      <c r="E9" s="6">
        <f t="shared" si="0"/>
        <v>81028311</v>
      </c>
      <c r="F9" s="6">
        <v>91247794</v>
      </c>
      <c r="G9" s="7">
        <v>18</v>
      </c>
      <c r="H9" s="5" t="s">
        <v>274</v>
      </c>
      <c r="I9" s="6">
        <v>55000000</v>
      </c>
      <c r="J9" s="5" t="s">
        <v>172</v>
      </c>
      <c r="K9" s="6">
        <v>51805000</v>
      </c>
    </row>
    <row r="10" spans="1:11">
      <c r="A10" s="8" t="s">
        <v>20</v>
      </c>
      <c r="B10" s="9">
        <v>91247794</v>
      </c>
      <c r="C10" s="9">
        <f>SUMIFS('Detail Transaksi'!I:I, 'Detail Transaksi'!B:B, "2026-06")</f>
        <v>475643583</v>
      </c>
      <c r="D10" s="9">
        <f>SUMIFS('Detail Transaksi'!H:H, 'Detail Transaksi'!B:B, "2026-06")</f>
        <v>419689165</v>
      </c>
      <c r="E10" s="9">
        <f t="shared" si="0"/>
        <v>55954418</v>
      </c>
      <c r="F10" s="9">
        <v>147202212</v>
      </c>
      <c r="G10" s="10">
        <v>29</v>
      </c>
      <c r="H10" s="8" t="s">
        <v>299</v>
      </c>
      <c r="I10" s="9">
        <v>213928000</v>
      </c>
      <c r="J10" s="8" t="s">
        <v>295</v>
      </c>
      <c r="K10" s="9">
        <v>100000000</v>
      </c>
    </row>
    <row r="11" spans="1:11">
      <c r="A11" s="5" t="s">
        <v>21</v>
      </c>
      <c r="B11" s="6">
        <v>147202212</v>
      </c>
      <c r="C11" s="6">
        <f>SUMIFS('Detail Transaksi'!I:I, 'Detail Transaksi'!B:B, "2026-07")</f>
        <v>489341825</v>
      </c>
      <c r="D11" s="6">
        <f>SUMIFS('Detail Transaksi'!H:H, 'Detail Transaksi'!B:B, "2026-07")</f>
        <v>481567224</v>
      </c>
      <c r="E11" s="6">
        <f t="shared" si="0"/>
        <v>7774601</v>
      </c>
      <c r="F11" s="6">
        <v>154976813</v>
      </c>
      <c r="G11" s="7">
        <v>30</v>
      </c>
      <c r="H11" s="5" t="s">
        <v>336</v>
      </c>
      <c r="I11" s="6">
        <v>145563000</v>
      </c>
      <c r="J11" s="5" t="s">
        <v>322</v>
      </c>
      <c r="K11" s="6">
        <v>100000000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pane ySplit="7" topLeftCell="A8" activePane="bottomLeft" state="frozen"/>
      <selection pane="bottomLeft" activeCell="F3" sqref="F3"/>
    </sheetView>
  </sheetViews>
  <sheetFormatPr defaultRowHeight="15"/>
  <cols>
    <col min="1" max="1" width="8" customWidth="1"/>
    <col min="2" max="2" width="21.7109375" customWidth="1"/>
    <col min="3" max="3" width="20" customWidth="1"/>
    <col min="4" max="4" width="18" customWidth="1"/>
    <col min="5" max="5" width="42" customWidth="1"/>
    <col min="6" max="6" width="50" customWidth="1"/>
    <col min="7" max="7" width="12" customWidth="1"/>
    <col min="8" max="8" width="26" customWidth="1"/>
    <col min="9" max="10" width="15" customWidth="1"/>
  </cols>
  <sheetData>
    <row r="1" spans="1:10" ht="25.5">
      <c r="A1" s="1" t="s">
        <v>366</v>
      </c>
    </row>
    <row r="2" spans="1:10">
      <c r="A2" s="2" t="s">
        <v>367</v>
      </c>
    </row>
    <row r="4" spans="1:10">
      <c r="A4" s="34" t="s">
        <v>368</v>
      </c>
      <c r="B4" s="35"/>
      <c r="C4" s="34" t="s">
        <v>369</v>
      </c>
      <c r="D4" s="35"/>
      <c r="E4" s="34" t="s">
        <v>370</v>
      </c>
      <c r="F4" s="35"/>
      <c r="G4" s="34" t="s">
        <v>371</v>
      </c>
      <c r="H4" s="35"/>
    </row>
    <row r="5" spans="1:10" ht="20.25">
      <c r="A5" s="36">
        <f>SUM(H8:H39)</f>
        <v>2487698344</v>
      </c>
      <c r="B5" s="35"/>
      <c r="C5" s="39">
        <v>32</v>
      </c>
      <c r="D5" s="35"/>
      <c r="E5" s="37">
        <f>AVERAGE(H8:H39)</f>
        <v>77740573.25</v>
      </c>
      <c r="F5" s="35"/>
      <c r="G5" s="37">
        <f>MAX(H8:H39)</f>
        <v>213928000</v>
      </c>
      <c r="H5" s="35"/>
    </row>
    <row r="7" spans="1:10">
      <c r="A7" s="4" t="s">
        <v>24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372</v>
      </c>
      <c r="I7" s="4" t="s">
        <v>59</v>
      </c>
      <c r="J7" s="4" t="s">
        <v>60</v>
      </c>
    </row>
    <row r="8" spans="1:10">
      <c r="A8" s="14">
        <v>1</v>
      </c>
      <c r="B8" s="14" t="s">
        <v>61</v>
      </c>
      <c r="C8" s="14" t="s">
        <v>62</v>
      </c>
      <c r="D8" s="14" t="s">
        <v>63</v>
      </c>
      <c r="E8" s="5" t="s">
        <v>31</v>
      </c>
      <c r="F8" s="5" t="s">
        <v>64</v>
      </c>
      <c r="G8" s="14" t="s">
        <v>65</v>
      </c>
      <c r="H8" s="33">
        <v>97242247</v>
      </c>
      <c r="I8" s="14" t="s">
        <v>66</v>
      </c>
      <c r="J8" s="14" t="s">
        <v>67</v>
      </c>
    </row>
    <row r="9" spans="1:10">
      <c r="A9" s="22">
        <v>2</v>
      </c>
      <c r="B9" s="22" t="s">
        <v>61</v>
      </c>
      <c r="C9" s="22" t="s">
        <v>68</v>
      </c>
      <c r="D9" s="22" t="s">
        <v>63</v>
      </c>
      <c r="E9" s="23" t="s">
        <v>31</v>
      </c>
      <c r="F9" s="23" t="s">
        <v>69</v>
      </c>
      <c r="G9" s="22" t="s">
        <v>65</v>
      </c>
      <c r="H9" s="25">
        <v>117154200</v>
      </c>
      <c r="I9" s="22" t="s">
        <v>66</v>
      </c>
      <c r="J9" s="22" t="s">
        <v>67</v>
      </c>
    </row>
    <row r="10" spans="1:10">
      <c r="A10" s="14">
        <v>3</v>
      </c>
      <c r="B10" s="14" t="s">
        <v>61</v>
      </c>
      <c r="C10" s="14" t="s">
        <v>81</v>
      </c>
      <c r="D10" s="14" t="s">
        <v>63</v>
      </c>
      <c r="E10" s="5" t="s">
        <v>31</v>
      </c>
      <c r="F10" s="5" t="s">
        <v>82</v>
      </c>
      <c r="G10" s="14" t="s">
        <v>65</v>
      </c>
      <c r="H10" s="33">
        <v>43461000</v>
      </c>
      <c r="I10" s="14" t="s">
        <v>66</v>
      </c>
      <c r="J10" s="14" t="s">
        <v>67</v>
      </c>
    </row>
    <row r="11" spans="1:10">
      <c r="A11" s="22">
        <v>4</v>
      </c>
      <c r="B11" s="22" t="s">
        <v>61</v>
      </c>
      <c r="C11" s="22" t="s">
        <v>88</v>
      </c>
      <c r="D11" s="22" t="s">
        <v>63</v>
      </c>
      <c r="E11" s="23" t="s">
        <v>31</v>
      </c>
      <c r="F11" s="23" t="s">
        <v>69</v>
      </c>
      <c r="G11" s="22" t="s">
        <v>65</v>
      </c>
      <c r="H11" s="25">
        <v>109603000</v>
      </c>
      <c r="I11" s="22" t="s">
        <v>66</v>
      </c>
      <c r="J11" s="22" t="s">
        <v>67</v>
      </c>
    </row>
    <row r="12" spans="1:10">
      <c r="A12" s="14">
        <v>5</v>
      </c>
      <c r="B12" s="14" t="s">
        <v>61</v>
      </c>
      <c r="C12" s="14" t="s">
        <v>131</v>
      </c>
      <c r="D12" s="14" t="s">
        <v>63</v>
      </c>
      <c r="E12" s="5" t="s">
        <v>31</v>
      </c>
      <c r="F12" s="5" t="s">
        <v>132</v>
      </c>
      <c r="G12" s="14" t="s">
        <v>65</v>
      </c>
      <c r="H12" s="33">
        <v>53153200</v>
      </c>
      <c r="I12" s="14" t="s">
        <v>66</v>
      </c>
      <c r="J12" s="14" t="s">
        <v>67</v>
      </c>
    </row>
    <row r="13" spans="1:10">
      <c r="A13" s="17">
        <v>6</v>
      </c>
      <c r="B13" s="17" t="s">
        <v>136</v>
      </c>
      <c r="C13" s="17" t="s">
        <v>137</v>
      </c>
      <c r="D13" s="17" t="s">
        <v>63</v>
      </c>
      <c r="E13" s="8" t="s">
        <v>31</v>
      </c>
      <c r="F13" s="8" t="s">
        <v>138</v>
      </c>
      <c r="G13" s="17" t="s">
        <v>65</v>
      </c>
      <c r="H13" s="32">
        <v>21589166</v>
      </c>
      <c r="I13" s="17" t="s">
        <v>66</v>
      </c>
      <c r="J13" s="17" t="s">
        <v>67</v>
      </c>
    </row>
    <row r="14" spans="1:10">
      <c r="A14" s="22">
        <v>7</v>
      </c>
      <c r="B14" s="22" t="s">
        <v>136</v>
      </c>
      <c r="C14" s="22" t="s">
        <v>139</v>
      </c>
      <c r="D14" s="22" t="s">
        <v>63</v>
      </c>
      <c r="E14" s="23" t="s">
        <v>31</v>
      </c>
      <c r="F14" s="23" t="s">
        <v>69</v>
      </c>
      <c r="G14" s="22" t="s">
        <v>65</v>
      </c>
      <c r="H14" s="25">
        <v>201570700</v>
      </c>
      <c r="I14" s="22" t="s">
        <v>66</v>
      </c>
      <c r="J14" s="22" t="s">
        <v>67</v>
      </c>
    </row>
    <row r="15" spans="1:10">
      <c r="A15" s="17">
        <v>8</v>
      </c>
      <c r="B15" s="17" t="s">
        <v>136</v>
      </c>
      <c r="C15" s="17" t="s">
        <v>147</v>
      </c>
      <c r="D15" s="17" t="s">
        <v>63</v>
      </c>
      <c r="E15" s="8" t="s">
        <v>31</v>
      </c>
      <c r="F15" s="8" t="s">
        <v>148</v>
      </c>
      <c r="G15" s="17" t="s">
        <v>65</v>
      </c>
      <c r="H15" s="32">
        <v>28457200</v>
      </c>
      <c r="I15" s="17" t="s">
        <v>66</v>
      </c>
      <c r="J15" s="17" t="s">
        <v>67</v>
      </c>
    </row>
    <row r="16" spans="1:10">
      <c r="A16" s="22">
        <v>9</v>
      </c>
      <c r="B16" s="22" t="s">
        <v>136</v>
      </c>
      <c r="C16" s="22" t="s">
        <v>151</v>
      </c>
      <c r="D16" s="22" t="s">
        <v>63</v>
      </c>
      <c r="E16" s="23" t="s">
        <v>31</v>
      </c>
      <c r="F16" s="23" t="s">
        <v>152</v>
      </c>
      <c r="G16" s="22" t="s">
        <v>65</v>
      </c>
      <c r="H16" s="25">
        <v>100089000</v>
      </c>
      <c r="I16" s="22" t="s">
        <v>66</v>
      </c>
      <c r="J16" s="22" t="s">
        <v>67</v>
      </c>
    </row>
    <row r="17" spans="1:10">
      <c r="A17" s="22">
        <v>10</v>
      </c>
      <c r="B17" s="22" t="s">
        <v>136</v>
      </c>
      <c r="C17" s="22" t="s">
        <v>153</v>
      </c>
      <c r="D17" s="22" t="s">
        <v>63</v>
      </c>
      <c r="E17" s="23" t="s">
        <v>31</v>
      </c>
      <c r="F17" s="23" t="s">
        <v>154</v>
      </c>
      <c r="G17" s="22" t="s">
        <v>65</v>
      </c>
      <c r="H17" s="25">
        <v>174810400</v>
      </c>
      <c r="I17" s="22" t="s">
        <v>66</v>
      </c>
      <c r="J17" s="22" t="s">
        <v>67</v>
      </c>
    </row>
    <row r="18" spans="1:10">
      <c r="A18" s="22">
        <v>11</v>
      </c>
      <c r="B18" s="22" t="s">
        <v>173</v>
      </c>
      <c r="C18" s="22" t="s">
        <v>174</v>
      </c>
      <c r="D18" s="22" t="s">
        <v>63</v>
      </c>
      <c r="E18" s="23" t="s">
        <v>31</v>
      </c>
      <c r="F18" s="23" t="s">
        <v>152</v>
      </c>
      <c r="G18" s="22" t="s">
        <v>65</v>
      </c>
      <c r="H18" s="25">
        <v>116833600</v>
      </c>
      <c r="I18" s="22" t="s">
        <v>66</v>
      </c>
      <c r="J18" s="22" t="s">
        <v>67</v>
      </c>
    </row>
    <row r="19" spans="1:10">
      <c r="A19" s="22">
        <v>12</v>
      </c>
      <c r="B19" s="22" t="s">
        <v>173</v>
      </c>
      <c r="C19" s="22" t="s">
        <v>175</v>
      </c>
      <c r="D19" s="22" t="s">
        <v>63</v>
      </c>
      <c r="E19" s="23" t="s">
        <v>31</v>
      </c>
      <c r="F19" s="23" t="s">
        <v>176</v>
      </c>
      <c r="G19" s="22" t="s">
        <v>65</v>
      </c>
      <c r="H19" s="25">
        <v>131661000</v>
      </c>
      <c r="I19" s="22" t="s">
        <v>66</v>
      </c>
      <c r="J19" s="22" t="s">
        <v>67</v>
      </c>
    </row>
    <row r="20" spans="1:10">
      <c r="A20" s="14">
        <v>13</v>
      </c>
      <c r="B20" s="14" t="s">
        <v>173</v>
      </c>
      <c r="C20" s="14" t="s">
        <v>195</v>
      </c>
      <c r="D20" s="14" t="s">
        <v>63</v>
      </c>
      <c r="E20" s="5" t="s">
        <v>31</v>
      </c>
      <c r="F20" s="5" t="s">
        <v>196</v>
      </c>
      <c r="G20" s="14" t="s">
        <v>65</v>
      </c>
      <c r="H20" s="33">
        <v>98294278</v>
      </c>
      <c r="I20" s="14" t="s">
        <v>66</v>
      </c>
      <c r="J20" s="14" t="s">
        <v>67</v>
      </c>
    </row>
    <row r="21" spans="1:10">
      <c r="A21" s="17">
        <v>14</v>
      </c>
      <c r="B21" s="17" t="s">
        <v>173</v>
      </c>
      <c r="C21" s="17" t="s">
        <v>197</v>
      </c>
      <c r="D21" s="17" t="s">
        <v>63</v>
      </c>
      <c r="E21" s="8" t="s">
        <v>31</v>
      </c>
      <c r="F21" s="8" t="s">
        <v>198</v>
      </c>
      <c r="G21" s="17" t="s">
        <v>65</v>
      </c>
      <c r="H21" s="32">
        <v>95407500</v>
      </c>
      <c r="I21" s="17" t="s">
        <v>66</v>
      </c>
      <c r="J21" s="17" t="s">
        <v>67</v>
      </c>
    </row>
    <row r="22" spans="1:10">
      <c r="A22" s="14">
        <v>15</v>
      </c>
      <c r="B22" s="14" t="s">
        <v>173</v>
      </c>
      <c r="C22" s="14" t="s">
        <v>207</v>
      </c>
      <c r="D22" s="14" t="s">
        <v>63</v>
      </c>
      <c r="E22" s="5" t="s">
        <v>31</v>
      </c>
      <c r="F22" s="5" t="s">
        <v>208</v>
      </c>
      <c r="G22" s="14" t="s">
        <v>65</v>
      </c>
      <c r="H22" s="33">
        <v>42442181</v>
      </c>
      <c r="I22" s="14" t="s">
        <v>66</v>
      </c>
      <c r="J22" s="14" t="s">
        <v>67</v>
      </c>
    </row>
    <row r="23" spans="1:10">
      <c r="A23" s="17">
        <v>16</v>
      </c>
      <c r="B23" s="17" t="s">
        <v>173</v>
      </c>
      <c r="C23" s="17" t="s">
        <v>209</v>
      </c>
      <c r="D23" s="17" t="s">
        <v>63</v>
      </c>
      <c r="E23" s="8" t="s">
        <v>31</v>
      </c>
      <c r="F23" s="8" t="s">
        <v>210</v>
      </c>
      <c r="G23" s="17" t="s">
        <v>65</v>
      </c>
      <c r="H23" s="32">
        <v>87158400</v>
      </c>
      <c r="I23" s="17" t="s">
        <v>66</v>
      </c>
      <c r="J23" s="17" t="s">
        <v>67</v>
      </c>
    </row>
    <row r="24" spans="1:10">
      <c r="A24" s="22">
        <v>17</v>
      </c>
      <c r="B24" s="22" t="s">
        <v>217</v>
      </c>
      <c r="C24" s="22" t="s">
        <v>221</v>
      </c>
      <c r="D24" s="22" t="s">
        <v>63</v>
      </c>
      <c r="E24" s="23" t="s">
        <v>31</v>
      </c>
      <c r="F24" s="23" t="s">
        <v>222</v>
      </c>
      <c r="G24" s="22" t="s">
        <v>65</v>
      </c>
      <c r="H24" s="25">
        <v>103584000</v>
      </c>
      <c r="I24" s="22" t="s">
        <v>66</v>
      </c>
      <c r="J24" s="22" t="s">
        <v>67</v>
      </c>
    </row>
    <row r="25" spans="1:10">
      <c r="A25" s="17">
        <v>18</v>
      </c>
      <c r="B25" s="17" t="s">
        <v>217</v>
      </c>
      <c r="C25" s="17" t="s">
        <v>235</v>
      </c>
      <c r="D25" s="17" t="s">
        <v>63</v>
      </c>
      <c r="E25" s="8" t="s">
        <v>31</v>
      </c>
      <c r="F25" s="8" t="s">
        <v>236</v>
      </c>
      <c r="G25" s="17" t="s">
        <v>65</v>
      </c>
      <c r="H25" s="32">
        <v>31887200</v>
      </c>
      <c r="I25" s="17" t="s">
        <v>66</v>
      </c>
      <c r="J25" s="17" t="s">
        <v>67</v>
      </c>
    </row>
    <row r="26" spans="1:10">
      <c r="A26" s="14">
        <v>19</v>
      </c>
      <c r="B26" s="14" t="s">
        <v>217</v>
      </c>
      <c r="C26" s="14" t="s">
        <v>244</v>
      </c>
      <c r="D26" s="14" t="s">
        <v>63</v>
      </c>
      <c r="E26" s="5" t="s">
        <v>31</v>
      </c>
      <c r="F26" s="5" t="s">
        <v>245</v>
      </c>
      <c r="G26" s="14" t="s">
        <v>65</v>
      </c>
      <c r="H26" s="33">
        <v>14894000</v>
      </c>
      <c r="I26" s="14" t="s">
        <v>66</v>
      </c>
      <c r="J26" s="14" t="s">
        <v>67</v>
      </c>
    </row>
    <row r="27" spans="1:10">
      <c r="A27" s="17">
        <v>20</v>
      </c>
      <c r="B27" s="17" t="s">
        <v>268</v>
      </c>
      <c r="C27" s="17" t="s">
        <v>269</v>
      </c>
      <c r="D27" s="17" t="s">
        <v>63</v>
      </c>
      <c r="E27" s="8" t="s">
        <v>31</v>
      </c>
      <c r="F27" s="8" t="s">
        <v>245</v>
      </c>
      <c r="G27" s="17" t="s">
        <v>65</v>
      </c>
      <c r="H27" s="32">
        <v>4627108</v>
      </c>
      <c r="I27" s="17" t="s">
        <v>66</v>
      </c>
      <c r="J27" s="17" t="s">
        <v>67</v>
      </c>
    </row>
    <row r="28" spans="1:10">
      <c r="A28" s="14">
        <v>21</v>
      </c>
      <c r="B28" s="14" t="s">
        <v>268</v>
      </c>
      <c r="C28" s="14" t="s">
        <v>270</v>
      </c>
      <c r="D28" s="14" t="s">
        <v>63</v>
      </c>
      <c r="E28" s="5" t="s">
        <v>31</v>
      </c>
      <c r="F28" s="5" t="s">
        <v>271</v>
      </c>
      <c r="G28" s="14" t="s">
        <v>65</v>
      </c>
      <c r="H28" s="33">
        <v>45184500</v>
      </c>
      <c r="I28" s="14" t="s">
        <v>66</v>
      </c>
      <c r="J28" s="14" t="s">
        <v>67</v>
      </c>
    </row>
    <row r="29" spans="1:10">
      <c r="A29" s="17">
        <v>22</v>
      </c>
      <c r="B29" s="17" t="s">
        <v>268</v>
      </c>
      <c r="C29" s="17" t="s">
        <v>276</v>
      </c>
      <c r="D29" s="17" t="s">
        <v>63</v>
      </c>
      <c r="E29" s="8" t="s">
        <v>31</v>
      </c>
      <c r="F29" s="8" t="s">
        <v>277</v>
      </c>
      <c r="G29" s="17" t="s">
        <v>65</v>
      </c>
      <c r="H29" s="32">
        <v>32730000</v>
      </c>
      <c r="I29" s="17" t="s">
        <v>66</v>
      </c>
      <c r="J29" s="17" t="s">
        <v>67</v>
      </c>
    </row>
    <row r="30" spans="1:10">
      <c r="A30" s="22">
        <v>23</v>
      </c>
      <c r="B30" s="22" t="s">
        <v>290</v>
      </c>
      <c r="C30" s="22" t="s">
        <v>298</v>
      </c>
      <c r="D30" s="22" t="s">
        <v>63</v>
      </c>
      <c r="E30" s="23" t="s">
        <v>31</v>
      </c>
      <c r="F30" s="23" t="s">
        <v>299</v>
      </c>
      <c r="G30" s="22" t="s">
        <v>65</v>
      </c>
      <c r="H30" s="25">
        <v>213928000</v>
      </c>
      <c r="I30" s="22" t="s">
        <v>66</v>
      </c>
      <c r="J30" s="22" t="s">
        <v>67</v>
      </c>
    </row>
    <row r="31" spans="1:10">
      <c r="A31" s="17">
        <v>24</v>
      </c>
      <c r="B31" s="17" t="s">
        <v>290</v>
      </c>
      <c r="C31" s="17" t="s">
        <v>315</v>
      </c>
      <c r="D31" s="17" t="s">
        <v>63</v>
      </c>
      <c r="E31" s="8" t="s">
        <v>31</v>
      </c>
      <c r="F31" s="8" t="s">
        <v>316</v>
      </c>
      <c r="G31" s="17" t="s">
        <v>65</v>
      </c>
      <c r="H31" s="32">
        <v>32674089</v>
      </c>
      <c r="I31" s="17" t="s">
        <v>66</v>
      </c>
      <c r="J31" s="17" t="s">
        <v>67</v>
      </c>
    </row>
    <row r="32" spans="1:10">
      <c r="A32" s="22">
        <v>25</v>
      </c>
      <c r="B32" s="22" t="s">
        <v>318</v>
      </c>
      <c r="C32" s="22" t="s">
        <v>319</v>
      </c>
      <c r="D32" s="22" t="s">
        <v>63</v>
      </c>
      <c r="E32" s="23" t="s">
        <v>31</v>
      </c>
      <c r="F32" s="23" t="s">
        <v>320</v>
      </c>
      <c r="G32" s="22" t="s">
        <v>65</v>
      </c>
      <c r="H32" s="25">
        <v>120038200</v>
      </c>
      <c r="I32" s="22" t="s">
        <v>66</v>
      </c>
      <c r="J32" s="22" t="s">
        <v>67</v>
      </c>
    </row>
    <row r="33" spans="1:10">
      <c r="A33" s="22">
        <v>26</v>
      </c>
      <c r="B33" s="22" t="s">
        <v>318</v>
      </c>
      <c r="C33" s="22" t="s">
        <v>323</v>
      </c>
      <c r="D33" s="22" t="s">
        <v>63</v>
      </c>
      <c r="E33" s="23" t="s">
        <v>31</v>
      </c>
      <c r="F33" s="23" t="s">
        <v>320</v>
      </c>
      <c r="G33" s="22" t="s">
        <v>65</v>
      </c>
      <c r="H33" s="25">
        <v>100377375</v>
      </c>
      <c r="I33" s="22" t="s">
        <v>66</v>
      </c>
      <c r="J33" s="22" t="s">
        <v>67</v>
      </c>
    </row>
    <row r="34" spans="1:10">
      <c r="A34" s="14">
        <v>27</v>
      </c>
      <c r="B34" s="14" t="s">
        <v>318</v>
      </c>
      <c r="C34" s="14" t="s">
        <v>333</v>
      </c>
      <c r="D34" s="14" t="s">
        <v>63</v>
      </c>
      <c r="E34" s="5" t="s">
        <v>31</v>
      </c>
      <c r="F34" s="5" t="s">
        <v>334</v>
      </c>
      <c r="G34" s="14" t="s">
        <v>65</v>
      </c>
      <c r="H34" s="33">
        <v>63110000</v>
      </c>
      <c r="I34" s="14" t="s">
        <v>66</v>
      </c>
      <c r="J34" s="14" t="s">
        <v>67</v>
      </c>
    </row>
    <row r="35" spans="1:10">
      <c r="A35" s="22">
        <v>28</v>
      </c>
      <c r="B35" s="22" t="s">
        <v>318</v>
      </c>
      <c r="C35" s="22" t="s">
        <v>335</v>
      </c>
      <c r="D35" s="22" t="s">
        <v>63</v>
      </c>
      <c r="E35" s="23" t="s">
        <v>31</v>
      </c>
      <c r="F35" s="23" t="s">
        <v>336</v>
      </c>
      <c r="G35" s="22" t="s">
        <v>65</v>
      </c>
      <c r="H35" s="25">
        <v>145563000</v>
      </c>
      <c r="I35" s="22" t="s">
        <v>66</v>
      </c>
      <c r="J35" s="22" t="s">
        <v>67</v>
      </c>
    </row>
    <row r="36" spans="1:10">
      <c r="A36" s="14">
        <v>29</v>
      </c>
      <c r="B36" s="14" t="s">
        <v>318</v>
      </c>
      <c r="C36" s="14" t="s">
        <v>337</v>
      </c>
      <c r="D36" s="14" t="s">
        <v>63</v>
      </c>
      <c r="E36" s="5" t="s">
        <v>31</v>
      </c>
      <c r="F36" s="5" t="s">
        <v>338</v>
      </c>
      <c r="G36" s="14" t="s">
        <v>65</v>
      </c>
      <c r="H36" s="33">
        <v>13326000</v>
      </c>
      <c r="I36" s="14" t="s">
        <v>66</v>
      </c>
      <c r="J36" s="14" t="s">
        <v>67</v>
      </c>
    </row>
    <row r="37" spans="1:10">
      <c r="A37" s="17">
        <v>30</v>
      </c>
      <c r="B37" s="17" t="s">
        <v>318</v>
      </c>
      <c r="C37" s="17" t="s">
        <v>346</v>
      </c>
      <c r="D37" s="17" t="s">
        <v>63</v>
      </c>
      <c r="E37" s="8" t="s">
        <v>31</v>
      </c>
      <c r="F37" s="8" t="s">
        <v>347</v>
      </c>
      <c r="G37" s="17" t="s">
        <v>65</v>
      </c>
      <c r="H37" s="32">
        <v>10778000</v>
      </c>
      <c r="I37" s="17" t="s">
        <v>66</v>
      </c>
      <c r="J37" s="17" t="s">
        <v>67</v>
      </c>
    </row>
    <row r="38" spans="1:10">
      <c r="A38" s="14">
        <v>31</v>
      </c>
      <c r="B38" s="14" t="s">
        <v>318</v>
      </c>
      <c r="C38" s="14" t="s">
        <v>349</v>
      </c>
      <c r="D38" s="14" t="s">
        <v>63</v>
      </c>
      <c r="E38" s="5" t="s">
        <v>31</v>
      </c>
      <c r="F38" s="5" t="s">
        <v>350</v>
      </c>
      <c r="G38" s="14" t="s">
        <v>65</v>
      </c>
      <c r="H38" s="33">
        <v>2203000</v>
      </c>
      <c r="I38" s="14" t="s">
        <v>66</v>
      </c>
      <c r="J38" s="14" t="s">
        <v>67</v>
      </c>
    </row>
    <row r="39" spans="1:10">
      <c r="A39" s="17">
        <v>32</v>
      </c>
      <c r="B39" s="17" t="s">
        <v>318</v>
      </c>
      <c r="C39" s="17" t="s">
        <v>351</v>
      </c>
      <c r="D39" s="17" t="s">
        <v>63</v>
      </c>
      <c r="E39" s="8" t="s">
        <v>31</v>
      </c>
      <c r="F39" s="8" t="s">
        <v>352</v>
      </c>
      <c r="G39" s="17" t="s">
        <v>65</v>
      </c>
      <c r="H39" s="32">
        <v>33866800</v>
      </c>
      <c r="I39" s="17" t="s">
        <v>66</v>
      </c>
      <c r="J39" s="17" t="s">
        <v>67</v>
      </c>
    </row>
    <row r="40" spans="1:10">
      <c r="A40" s="20"/>
      <c r="B40" s="20" t="s">
        <v>373</v>
      </c>
      <c r="C40" s="20" t="s">
        <v>48</v>
      </c>
      <c r="D40" s="20" t="s">
        <v>48</v>
      </c>
      <c r="E40" s="20" t="s">
        <v>48</v>
      </c>
      <c r="F40" s="20" t="s">
        <v>48</v>
      </c>
      <c r="G40" s="20" t="s">
        <v>48</v>
      </c>
      <c r="H40" s="12">
        <f>SUM(H8:H39)</f>
        <v>2487698344</v>
      </c>
      <c r="I40" s="20" t="s">
        <v>48</v>
      </c>
      <c r="J40" s="20" t="s">
        <v>48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Eksekutif</vt:lpstr>
      <vt:lpstr>Detail Transaksi</vt:lpstr>
      <vt:lpstr>Rekap Bulanan</vt:lpstr>
      <vt:lpstr>Payment Akr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Setiaji Eka Putra</cp:lastModifiedBy>
  <dcterms:created xsi:type="dcterms:W3CDTF">2026-08-05T03:20:21Z</dcterms:created>
  <dcterms:modified xsi:type="dcterms:W3CDTF">2026-08-05T03:21:28Z</dcterms:modified>
</cp:coreProperties>
</file>