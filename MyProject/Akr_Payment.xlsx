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a.natalia\AppData\Local\Microsoft\Windows\INetCache\Content.Outlook\G2F0XVV0\"/>
    </mc:Choice>
  </mc:AlternateContent>
  <xr:revisionPtr revIDLastSave="0" documentId="8_{ED7892B0-54E6-4EAC-9AC7-CFFD1183869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yment Akr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G14" i="5"/>
  <c r="G12" i="5"/>
  <c r="G11" i="5"/>
  <c r="G10" i="5"/>
  <c r="G8" i="5"/>
  <c r="G7" i="5"/>
  <c r="G5" i="5"/>
  <c r="G4" i="5"/>
  <c r="G19" i="5" l="1"/>
  <c r="AE120" i="5" l="1"/>
  <c r="AE125" i="5" s="1"/>
  <c r="W122" i="5"/>
  <c r="W120" i="5"/>
  <c r="O128" i="5"/>
  <c r="O126" i="5"/>
  <c r="O125" i="5"/>
  <c r="O123" i="5"/>
  <c r="O121" i="5"/>
  <c r="O120" i="5"/>
  <c r="G120" i="5"/>
  <c r="G127" i="5" s="1"/>
  <c r="AE103" i="5"/>
  <c r="AE101" i="5"/>
  <c r="AE100" i="5"/>
  <c r="AE98" i="5"/>
  <c r="AE96" i="5"/>
  <c r="AE95" i="5"/>
  <c r="AE93" i="5"/>
  <c r="AE92" i="5"/>
  <c r="W92" i="5"/>
  <c r="W98" i="5" s="1"/>
  <c r="O106" i="5"/>
  <c r="O104" i="5"/>
  <c r="O103" i="5"/>
  <c r="O101" i="5"/>
  <c r="O100" i="5"/>
  <c r="O98" i="5"/>
  <c r="O96" i="5"/>
  <c r="O94" i="5"/>
  <c r="O92" i="5"/>
  <c r="G104" i="5"/>
  <c r="G102" i="5"/>
  <c r="G100" i="5"/>
  <c r="G98" i="5"/>
  <c r="G96" i="5"/>
  <c r="G95" i="5"/>
  <c r="G93" i="5"/>
  <c r="G92" i="5"/>
  <c r="AE67" i="5"/>
  <c r="AE65" i="5"/>
  <c r="AE63" i="5"/>
  <c r="W71" i="5"/>
  <c r="W69" i="5"/>
  <c r="W67" i="5"/>
  <c r="W66" i="5"/>
  <c r="W64" i="5"/>
  <c r="W63" i="5"/>
  <c r="O74" i="5"/>
  <c r="O72" i="5"/>
  <c r="O71" i="5"/>
  <c r="O69" i="5"/>
  <c r="O67" i="5"/>
  <c r="O66" i="5"/>
  <c r="O64" i="5"/>
  <c r="O63" i="5"/>
  <c r="G64" i="5"/>
  <c r="G63" i="5"/>
  <c r="AE41" i="5"/>
  <c r="AE40" i="5"/>
  <c r="AE38" i="5"/>
  <c r="AE37" i="5"/>
  <c r="AE35" i="5"/>
  <c r="AE34" i="5"/>
  <c r="AE33" i="5"/>
  <c r="W36" i="5"/>
  <c r="W35" i="5"/>
  <c r="W33" i="5"/>
  <c r="O40" i="5"/>
  <c r="O39" i="5"/>
  <c r="O37" i="5"/>
  <c r="O36" i="5"/>
  <c r="O34" i="5"/>
  <c r="O33" i="5"/>
  <c r="G47" i="5"/>
  <c r="G45" i="5"/>
  <c r="G44" i="5"/>
  <c r="G42" i="5"/>
  <c r="G41" i="5"/>
  <c r="G39" i="5"/>
  <c r="G38" i="5"/>
  <c r="G36" i="5"/>
  <c r="G34" i="5"/>
  <c r="G33" i="5"/>
  <c r="W126" i="5" l="1"/>
  <c r="O133" i="5"/>
  <c r="AE106" i="5"/>
  <c r="O108" i="5"/>
  <c r="W75" i="5"/>
  <c r="G106" i="5"/>
  <c r="AE71" i="5"/>
  <c r="O78" i="5"/>
  <c r="G70" i="5"/>
  <c r="AE45" i="5"/>
  <c r="W42" i="5"/>
  <c r="O43" i="5"/>
  <c r="G49" i="5"/>
  <c r="H40" i="4" l="1"/>
  <c r="G5" i="4"/>
  <c r="E5" i="4"/>
  <c r="A5" i="4"/>
</calcChain>
</file>

<file path=xl/sharedStrings.xml><?xml version="1.0" encoding="utf-8"?>
<sst xmlns="http://schemas.openxmlformats.org/spreadsheetml/2006/main" count="830" uniqueCount="342">
  <si>
    <t>No</t>
  </si>
  <si>
    <t>Penerimaan Penjualan (AKR Corporindo)</t>
  </si>
  <si>
    <t>-</t>
  </si>
  <si>
    <t>Periode</t>
  </si>
  <si>
    <t>Tanggal &amp; Waktu</t>
  </si>
  <si>
    <t>No. Rekening</t>
  </si>
  <si>
    <t>Kategori</t>
  </si>
  <si>
    <t>Keterangan / Remark</t>
  </si>
  <si>
    <t>Jenis (GL)</t>
  </si>
  <si>
    <t>User ID</t>
  </si>
  <si>
    <t>Kode Tran</t>
  </si>
  <si>
    <t>2026-01</t>
  </si>
  <si>
    <t>2026-01-05 13:54:10</t>
  </si>
  <si>
    <t>13001002256309</t>
  </si>
  <si>
    <t>PT AKR CORPORINDO-BANK PERMATA-INV 464,4</t>
  </si>
  <si>
    <t>Kredit</t>
  </si>
  <si>
    <t>BRI0372</t>
  </si>
  <si>
    <t>563</t>
  </si>
  <si>
    <t>2026-01-05 14:24:12</t>
  </si>
  <si>
    <t>PT AKR CORPORINDO TBK-BANK PERMATA-INV 4</t>
  </si>
  <si>
    <t>2026-01-08 13:42:58</t>
  </si>
  <si>
    <t>PT AKR CORPORINDO-BANK PERMATA-INV: 470</t>
  </si>
  <si>
    <t>2026-01-12 14:23:34</t>
  </si>
  <si>
    <t>2026-01-29 14:23:44</t>
  </si>
  <si>
    <t>PT AKR CORPORINDO-BANK PERMATA-INV:478 &amp;</t>
  </si>
  <si>
    <t>2026-02</t>
  </si>
  <si>
    <t>2026-02-09 15:03:43</t>
  </si>
  <si>
    <t>PT AKR CORPORINDO-BANK PERMATA-INV 004&amp;0</t>
  </si>
  <si>
    <t>2026-02-09 15:03:45</t>
  </si>
  <si>
    <t>2026-02-12 13:42:57</t>
  </si>
  <si>
    <t>PT AKR CORPORINDO-BANK PERMATA-INV: 481</t>
  </si>
  <si>
    <t>2026-02-19 13:52:54</t>
  </si>
  <si>
    <t>PT AKR CORPORINDO TBK-BANK PERMATA-INV 0</t>
  </si>
  <si>
    <t>2026-02-19 14:43:02</t>
  </si>
  <si>
    <t>PT AKR CORPORINDO TBK-BANK PERMATA-INV :</t>
  </si>
  <si>
    <t>2026-03</t>
  </si>
  <si>
    <t>2026-03-02 14:24:38</t>
  </si>
  <si>
    <t>2026-03-02 14:54:00</t>
  </si>
  <si>
    <t>PT. AKR CORPORINDO TBK.-BANK PERMATA-INV</t>
  </si>
  <si>
    <t>2026-03-12 13:25:31</t>
  </si>
  <si>
    <t>PT AKR CORPORINDO-BANK PERMATA-INV: 21,2</t>
  </si>
  <si>
    <t>2026-03-16 15:04:37</t>
  </si>
  <si>
    <t>PT AKR CORPORINDO-BANK PERMATA-INV 024-0</t>
  </si>
  <si>
    <t>2026-03-30 13:43:25</t>
  </si>
  <si>
    <t>PT AKR CORPORINDO-BANK PERMATA-INV : 029</t>
  </si>
  <si>
    <t>2026-03-30 14:23:47</t>
  </si>
  <si>
    <t>PT AKR CORPORINDO-BANK PERMATA-INV 028 O</t>
  </si>
  <si>
    <t>2026-04</t>
  </si>
  <si>
    <t>2026-04-06 14:24:31</t>
  </si>
  <si>
    <t>PT AKR CORPORINDO TBK-BANK PERMATA-INV ;</t>
  </si>
  <si>
    <t>2026-04-16 15:34:31</t>
  </si>
  <si>
    <t>PT AKR CORPORINDO-BANK PERMATA-INV 040-0</t>
  </si>
  <si>
    <t>2026-04-27 13:33:21</t>
  </si>
  <si>
    <t>PT AKR CORPORINDO-BANK PERMATA-INV 042 O</t>
  </si>
  <si>
    <t>2026-05</t>
  </si>
  <si>
    <t>2026-05-18 15:03:52</t>
  </si>
  <si>
    <t>2026-05-25 13:55:16</t>
  </si>
  <si>
    <t>PT AKR CORPORINDO-BANK PERMATA-INV 057-0</t>
  </si>
  <si>
    <t>2026-05-29 14:04:32</t>
  </si>
  <si>
    <t>PT AKR CORPORINDO-BANK PERMATA-INV . 064</t>
  </si>
  <si>
    <t>2026-06</t>
  </si>
  <si>
    <t>2026-06-15 14:13:42</t>
  </si>
  <si>
    <t>PT AKR COPORINDO TBK-BANK PERMATA-INV 07</t>
  </si>
  <si>
    <t>2026-06-25 13:15:12</t>
  </si>
  <si>
    <t>PT AKR CORPORINDO-BANK PERMATA-INV 096 &amp;</t>
  </si>
  <si>
    <t>2026-07</t>
  </si>
  <si>
    <t>2026-07-02 14:13:23</t>
  </si>
  <si>
    <t>PT AKR CORPORINDO TBK-BANK PERMATA-INV.</t>
  </si>
  <si>
    <t>2026-07-09 13:43:02</t>
  </si>
  <si>
    <t>2026-07-16 13:53:08</t>
  </si>
  <si>
    <t>PT AKR CORPORINDO-BANK PERMATA-INV. 125-</t>
  </si>
  <si>
    <t>2026-07-20 14:13:44</t>
  </si>
  <si>
    <t>PT AKR CORPORINDO TBK-BANK PERMATA-INV 1</t>
  </si>
  <si>
    <t>2026-07-20 14:53:32</t>
  </si>
  <si>
    <t>PT AKR CORPORINDO-BANK PERMATA-INV 133 O</t>
  </si>
  <si>
    <t>2026-07-23 14:23:11</t>
  </si>
  <si>
    <t>PT AKR CORPORINDO-BANK PERMATA-INV. 142</t>
  </si>
  <si>
    <t>2026-07-27 14:54:11</t>
  </si>
  <si>
    <t>PT AKR CORPORINDO-BANK PERMATA-INV. 146</t>
  </si>
  <si>
    <t>2026-07-30 14:23:04</t>
  </si>
  <si>
    <t>PT AKR CORPORINDO-BANK PERMATA-INV 148 &amp;</t>
  </si>
  <si>
    <t>DETAIL TRANSFER MASUK - PT AKR CORPORINDO TBK</t>
  </si>
  <si>
    <t>No. Rekening: 13001002256309 | Periode: Januari - Juli 2026 | Rekap Penerimaan Penjualan AKR</t>
  </si>
  <si>
    <t>TOTAL PENERIMAAN AKR</t>
  </si>
  <si>
    <t>JUMLAH TRANSAKSI</t>
  </si>
  <si>
    <t>RATA-RATA PER TRANSAKSI</t>
  </si>
  <si>
    <t>TRANSAKSI TERBESAR</t>
  </si>
  <si>
    <t>Mutasi Kredit / Masuk (Rp)</t>
  </si>
  <si>
    <t>TOTAL AKR</t>
  </si>
  <si>
    <t>INV</t>
  </si>
  <si>
    <t>INV 479,482,488,489,005,007 (5-31DES)</t>
  </si>
  <si>
    <t>INV 008/010/011 (31DES-12JAN)</t>
  </si>
  <si>
    <t>INV 017,019 (14 JAN)</t>
  </si>
  <si>
    <t>INV 024,025,026 (27 jan - 5 feb)</t>
  </si>
  <si>
    <t>INV 026 (12-14FEB)</t>
  </si>
  <si>
    <t>INV 057,058,059,060 (13APR)</t>
  </si>
  <si>
    <t>REKAP PAYMENT</t>
  </si>
  <si>
    <t>Tanggal</t>
  </si>
  <si>
    <t>Keterangan</t>
  </si>
  <si>
    <t>Jumlah</t>
  </si>
  <si>
    <t>479</t>
  </si>
  <si>
    <t>Ongkos Angkut AMP LPG/05 - 09 Des 2025</t>
  </si>
  <si>
    <t xml:space="preserve">PPh 23 </t>
  </si>
  <si>
    <t>08002500410919941</t>
  </si>
  <si>
    <t>12/12/2025</t>
  </si>
  <si>
    <t>SUSUT AMP/251 L</t>
  </si>
  <si>
    <t>482</t>
  </si>
  <si>
    <t>Ongkos Angkut AMP LPG/11 Des 2025</t>
  </si>
  <si>
    <t>08002500414558717</t>
  </si>
  <si>
    <t>15/12/2025</t>
  </si>
  <si>
    <t>488</t>
  </si>
  <si>
    <t>Ongkos Angkut AMP LPG/19 - 23 Des 2025</t>
  </si>
  <si>
    <t>08002500433402050</t>
  </si>
  <si>
    <t>27/12/2025</t>
  </si>
  <si>
    <t>SUSUT AMP/901 L</t>
  </si>
  <si>
    <t>489</t>
  </si>
  <si>
    <t>Ongkos Angkut AMP LPG/23-28 Des 2025</t>
  </si>
  <si>
    <t>08002500434158715</t>
  </si>
  <si>
    <t>31/12/2025</t>
  </si>
  <si>
    <t>SUSUT AMP/525 L</t>
  </si>
  <si>
    <t>005</t>
  </si>
  <si>
    <t>Ongkos Angkut AMP LPG/28 Des 2025</t>
  </si>
  <si>
    <t>08002600000229627</t>
  </si>
  <si>
    <t>02/01/2026</t>
  </si>
  <si>
    <t>SUSUT AMP/69 L</t>
  </si>
  <si>
    <t>007</t>
  </si>
  <si>
    <t>Ongkos Angkut AMP LPG/31 Des 2025</t>
  </si>
  <si>
    <t>08002600000459721</t>
  </si>
  <si>
    <t>05/01/2026</t>
  </si>
  <si>
    <t>TOTAL</t>
  </si>
  <si>
    <t>Terlampir bukti-bukti pendukung pembayaran ini</t>
  </si>
  <si>
    <t>Mohon Transfer ke:</t>
  </si>
  <si>
    <t>BNI</t>
  </si>
  <si>
    <t>No : 692-2915-57</t>
  </si>
  <si>
    <t xml:space="preserve">a/n </t>
  </si>
  <si>
    <t>PT. HIJAU SEJAHTERA BERSAMA</t>
  </si>
  <si>
    <t>Bayar tgl : 09 Februari 2026</t>
  </si>
  <si>
    <t>008</t>
  </si>
  <si>
    <t>08002600002426461</t>
  </si>
  <si>
    <t>08/01/2026</t>
  </si>
  <si>
    <t>SUSUT AMP/290 L</t>
  </si>
  <si>
    <t>010</t>
  </si>
  <si>
    <t>Ongkos Angkut AMP LPG/07 Jan 2026</t>
  </si>
  <si>
    <t>08002600004545082</t>
  </si>
  <si>
    <t>12/01/2026</t>
  </si>
  <si>
    <t>SUSUT AMP/443 L</t>
  </si>
  <si>
    <t>011</t>
  </si>
  <si>
    <t>Ongkos Angkut AMP LPG/09-12 Jan 2026</t>
  </si>
  <si>
    <t>08012600007272543</t>
  </si>
  <si>
    <t>15/01/2026</t>
  </si>
  <si>
    <t>SUSUT AMP/199 L</t>
  </si>
  <si>
    <t>017</t>
  </si>
  <si>
    <t>Ongkos Angkut AMP LPG/14 Jan 2026</t>
  </si>
  <si>
    <t>08002600010640907</t>
  </si>
  <si>
    <t>20/01/2026</t>
  </si>
  <si>
    <t>019</t>
  </si>
  <si>
    <t>Ongkos Angkut AMP LPG/14-25 Jan 2026</t>
  </si>
  <si>
    <t>08002600017906275</t>
  </si>
  <si>
    <t>27/01/2026</t>
  </si>
  <si>
    <t>SUSUT AMP/1372 L</t>
  </si>
  <si>
    <t>Bayar tgl : 02 Maret 2026</t>
  </si>
  <si>
    <t>024</t>
  </si>
  <si>
    <t>Ongkos Angkut AMP/WMK LPG/27-28 JAN 2026</t>
  </si>
  <si>
    <t>08002600028146557</t>
  </si>
  <si>
    <t>03/02/2026</t>
  </si>
  <si>
    <t>SUSUT AMP/534 L</t>
  </si>
  <si>
    <t>SUSUT WMK/211 L</t>
  </si>
  <si>
    <t>025</t>
  </si>
  <si>
    <t>Ongkos Angkut AMP LPG/30-31 JAN 2026</t>
  </si>
  <si>
    <t>08002600029419391</t>
  </si>
  <si>
    <t>05/02/2026</t>
  </si>
  <si>
    <t>SUSUT AMP/378 L</t>
  </si>
  <si>
    <t>026</t>
  </si>
  <si>
    <t>Ongkos Angkut AMP LPG/05 FEB 2026</t>
  </si>
  <si>
    <t>08002600032468239</t>
  </si>
  <si>
    <t>09/02/2026</t>
  </si>
  <si>
    <t>SUSUT AMP/282 L</t>
  </si>
  <si>
    <t>Bayar tgl : 16 Maret 2026</t>
  </si>
  <si>
    <t>Ongkos Angkut AMP LPG/12-14 FEB 2026</t>
  </si>
  <si>
    <t>08012600051874865</t>
  </si>
  <si>
    <t>18/02/2026</t>
  </si>
  <si>
    <t>SUSUT AMP/764 L</t>
  </si>
  <si>
    <t>050</t>
  </si>
  <si>
    <t>Ongkos Angkut AMP LPG/9 APR 2026</t>
  </si>
  <si>
    <t>08002600128379788</t>
  </si>
  <si>
    <t>14/04/2026</t>
  </si>
  <si>
    <t>SUSUT AMP/121 L</t>
  </si>
  <si>
    <t>051</t>
  </si>
  <si>
    <t>08002600128406659</t>
  </si>
  <si>
    <t>SUSUT AMP/74 L</t>
  </si>
  <si>
    <t>052</t>
  </si>
  <si>
    <t>08002600128427829</t>
  </si>
  <si>
    <t>053</t>
  </si>
  <si>
    <t>08002600128450988</t>
  </si>
  <si>
    <t>SUSUT AMP/39 L</t>
  </si>
  <si>
    <t>054</t>
  </si>
  <si>
    <t>08002600128479600</t>
  </si>
  <si>
    <t>Bayar tgl : 18 Mei  2026</t>
  </si>
  <si>
    <t>057</t>
  </si>
  <si>
    <t>Ongkos Angkut AMP LPG/13 APR 2026</t>
  </si>
  <si>
    <t>08002600133516529</t>
  </si>
  <si>
    <t>16/04/2026</t>
  </si>
  <si>
    <t>SUSUT AMP/94 L</t>
  </si>
  <si>
    <t>058</t>
  </si>
  <si>
    <t>08002600133519566</t>
  </si>
  <si>
    <t>SUSUT AMP/176 L</t>
  </si>
  <si>
    <t>059</t>
  </si>
  <si>
    <t>08002600133522537</t>
  </si>
  <si>
    <t>060</t>
  </si>
  <si>
    <t>08002600133525498</t>
  </si>
  <si>
    <t>Bayar tgl : 25 Mei  2026</t>
  </si>
  <si>
    <t>077</t>
  </si>
  <si>
    <t>Ongkos Angkut WMK LPG/APR 2026</t>
  </si>
  <si>
    <t>08002600151713875</t>
  </si>
  <si>
    <t>02/05/2026</t>
  </si>
  <si>
    <t>081</t>
  </si>
  <si>
    <t>Ongkos Angkut AMP BKI/MEI 2026</t>
  </si>
  <si>
    <t>08002600163793118</t>
  </si>
  <si>
    <t>08/05/2026</t>
  </si>
  <si>
    <t>083</t>
  </si>
  <si>
    <t>Ongkos Angkut WMK LPG/MEI 2026</t>
  </si>
  <si>
    <t>08002600163811278</t>
  </si>
  <si>
    <t>070</t>
  </si>
  <si>
    <t>Ongkos Angkut BKI LPG/APR 2026</t>
  </si>
  <si>
    <t>08002600146864147</t>
  </si>
  <si>
    <t>27/04/2026</t>
  </si>
  <si>
    <t>SUSUT BKI/161 L</t>
  </si>
  <si>
    <t>074</t>
  </si>
  <si>
    <t>08002600150469840</t>
  </si>
  <si>
    <t>30/04/2026</t>
  </si>
  <si>
    <t>SUSUT BKI/205 L</t>
  </si>
  <si>
    <t>075</t>
  </si>
  <si>
    <t>08002600151707172</t>
  </si>
  <si>
    <t>076</t>
  </si>
  <si>
    <t>Ongkos Angkut SCK LPG/APR 2026</t>
  </si>
  <si>
    <t>08002600151710926</t>
  </si>
  <si>
    <t>079</t>
  </si>
  <si>
    <t>08002600155130168</t>
  </si>
  <si>
    <t>05/05/2026</t>
  </si>
  <si>
    <t>082</t>
  </si>
  <si>
    <t>08002600163797374</t>
  </si>
  <si>
    <t>Bayar tgl : 15 Juni  2026</t>
  </si>
  <si>
    <t>129</t>
  </si>
  <si>
    <t>Ongkos Angkut BKI LPG/JUNI 2026</t>
  </si>
  <si>
    <t>08002600217034575</t>
  </si>
  <si>
    <t>11/06/2026</t>
  </si>
  <si>
    <t>132</t>
  </si>
  <si>
    <t>Ongkos Angkut WMK LPG/JUNI 2026</t>
  </si>
  <si>
    <t>08002600217291300</t>
  </si>
  <si>
    <t>12/06/2026</t>
  </si>
  <si>
    <t>135</t>
  </si>
  <si>
    <t>08002600219956899</t>
  </si>
  <si>
    <t>13/06/2026</t>
  </si>
  <si>
    <t>136</t>
  </si>
  <si>
    <t>Ongkos Angkut SCK LPG/JUNI 2026</t>
  </si>
  <si>
    <t>08002600219961657</t>
  </si>
  <si>
    <t>137</t>
  </si>
  <si>
    <t>08002600219967539</t>
  </si>
  <si>
    <t>SUSUT BKI/ 36 L</t>
  </si>
  <si>
    <t>140</t>
  </si>
  <si>
    <t>08002600228643094</t>
  </si>
  <si>
    <t>18/06/2026</t>
  </si>
  <si>
    <t>SUSUT BKI/ 41 L</t>
  </si>
  <si>
    <t>141</t>
  </si>
  <si>
    <t>08002600228665228</t>
  </si>
  <si>
    <t>BRI</t>
  </si>
  <si>
    <t>NO Rek:</t>
  </si>
  <si>
    <t>013001002256309</t>
  </si>
  <si>
    <t>Bayar tgl : 20 Juli  2026</t>
  </si>
  <si>
    <t>145</t>
  </si>
  <si>
    <t>08002600235719243</t>
  </si>
  <si>
    <t>22/06/2026</t>
  </si>
  <si>
    <t>Bayar tgl : 03 Agustus  2026</t>
  </si>
  <si>
    <t>150</t>
  </si>
  <si>
    <t>08002600241515432</t>
  </si>
  <si>
    <t>29/06/2026</t>
  </si>
  <si>
    <t>SUSUT BKI/68 L</t>
  </si>
  <si>
    <t>151</t>
  </si>
  <si>
    <t>08002600244607007</t>
  </si>
  <si>
    <t>01/07/2026</t>
  </si>
  <si>
    <t>SUSUT SCK/ 33 L</t>
  </si>
  <si>
    <t>152</t>
  </si>
  <si>
    <t>08002600244525588</t>
  </si>
  <si>
    <t>155</t>
  </si>
  <si>
    <t>08012600248848810</t>
  </si>
  <si>
    <t>03/07/2026</t>
  </si>
  <si>
    <t>SUSUT BKI/ 35 L</t>
  </si>
  <si>
    <t>157</t>
  </si>
  <si>
    <t>08002600248869336</t>
  </si>
  <si>
    <t>159</t>
  </si>
  <si>
    <t>Ongkos Angkut BKI LPG/JULI 2026</t>
  </si>
  <si>
    <t>08002600258189527</t>
  </si>
  <si>
    <t>09/07/2026</t>
  </si>
  <si>
    <t>Bayar tgl : 10 Agustus  2026</t>
  </si>
  <si>
    <t>163</t>
  </si>
  <si>
    <t>08012600270581643</t>
  </si>
  <si>
    <t>16/07/2026</t>
  </si>
  <si>
    <t>SUSUT BKI/62 L</t>
  </si>
  <si>
    <t>165</t>
  </si>
  <si>
    <t>Ongkos Angkut SCK LPG/JULI 2026</t>
  </si>
  <si>
    <t>08002600273712179</t>
  </si>
  <si>
    <t>168</t>
  </si>
  <si>
    <t>08002600278816846</t>
  </si>
  <si>
    <t>18/07/2026</t>
  </si>
  <si>
    <t>SUSUT BKI/41 L</t>
  </si>
  <si>
    <t>169</t>
  </si>
  <si>
    <t>08002600278827428</t>
  </si>
  <si>
    <t>Bayar tgl : 17 Agustus  2026</t>
  </si>
  <si>
    <t>171</t>
  </si>
  <si>
    <t>08002600280946277</t>
  </si>
  <si>
    <t>20/07/2026</t>
  </si>
  <si>
    <t>174</t>
  </si>
  <si>
    <t>08002600283671448</t>
  </si>
  <si>
    <t>21/07/2026</t>
  </si>
  <si>
    <t>Bayar tgl : 24 Agustus  2026</t>
  </si>
  <si>
    <t>176</t>
  </si>
  <si>
    <t>08002600286952618</t>
  </si>
  <si>
    <t>23/07/2026</t>
  </si>
  <si>
    <t>Bayar tgl : 31 Agustus  2026</t>
  </si>
  <si>
    <t>465</t>
  </si>
  <si>
    <t>Ongkos Angkut AMP LPG/25 - 28 Nov 2025</t>
  </si>
  <si>
    <t>08002500392404532</t>
  </si>
  <si>
    <t>01/12/2025</t>
  </si>
  <si>
    <t>SUSUT AMP/413 L</t>
  </si>
  <si>
    <t>468</t>
  </si>
  <si>
    <t>Ongkos Angkut AMP LPG/28-29 Nov 2025</t>
  </si>
  <si>
    <t>08002500394740386</t>
  </si>
  <si>
    <t>02/12/2025</t>
  </si>
  <si>
    <t>471</t>
  </si>
  <si>
    <t>Ongkos Angkut AMP LPG/29 Nov - 5 DES 2025</t>
  </si>
  <si>
    <t>08002500402315913</t>
  </si>
  <si>
    <t>08/12/2025</t>
  </si>
  <si>
    <t>SUSUT AMP/88 L</t>
  </si>
  <si>
    <t>SUSUT AMP/595 L</t>
  </si>
  <si>
    <t>477</t>
  </si>
  <si>
    <t>Ongkos Angkut AMP LPG/07 DES 2025</t>
  </si>
  <si>
    <t>08002500408049127</t>
  </si>
  <si>
    <t>10/12/2025</t>
  </si>
  <si>
    <t>SUSUT AMP/449 L</t>
  </si>
  <si>
    <t>Bayar tgl : 12 Januari 2026</t>
  </si>
  <si>
    <t>Bayar tgl : 30 Maret 2026</t>
  </si>
  <si>
    <t>Bayar tgl : 19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</si>
</sst>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\R\p\ #,##0.00;[Red]\(\R\p\ #,##0.00\);&quot;-&quot;"/>
    <numFmt numFmtId="165" formatCode="_(* #,##0_);_(* \(#,##0\);_(* &quot;-&quot;??_);_(@_)"/>
    <numFmt numFmtId="166" formatCode="[$-409]d\-mmm\-yy;@"/>
    <numFmt numFmtId="167" formatCode="_([$Rp-421]* #,##0_);_([$Rp-421]* \(#,##0\);_([$Rp-421]* &quot;-&quot;_);_(@_)"/>
    <numFmt numFmtId="168" formatCode="_-[$Rp-421]* #,##0_-;\-[$Rp-421]* #,##0_-;_-[$Rp-421]* &quot;-&quot;_-;_-@_-"/>
  </numFmts>
  <fonts count="15" x14ac:knownFonts="1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i/>
      <sz val="10"/>
      <color rgb="FF595959"/>
      <name val="Segoe UI"/>
      <family val="2"/>
    </font>
    <font>
      <b/>
      <sz val="9"/>
      <color rgb="FF595959"/>
      <name val="Segoe UI"/>
      <family val="2"/>
    </font>
    <font>
      <b/>
      <sz val="14"/>
      <color rgb="FF1F4E78"/>
      <name val="Segoe UI"/>
      <family val="2"/>
    </font>
    <font>
      <b/>
      <sz val="14"/>
      <color rgb="FF2E75B6"/>
      <name val="Segoe UI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rgb="FF2E75B6"/>
      <name val="Segoe UI"/>
      <family val="2"/>
    </font>
    <font>
      <sz val="10"/>
      <name val="Arial"/>
      <family val="2"/>
    </font>
    <font>
      <sz val="10"/>
      <name val="Times New Roman"/>
      <family val="1"/>
    </font>
    <font>
      <sz val="8.0500000000000007"/>
      <color indexed="8"/>
      <name val="Arial Narrow"/>
      <family val="2"/>
    </font>
    <font>
      <sz val="10"/>
      <color indexed="8"/>
      <name val="Arial Narrow"/>
      <family val="2"/>
    </font>
    <font>
      <b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9FAF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2" xfId="0" applyFont="1" applyFill="1" applyBorder="1" applyAlignment="1">
      <alignment horizontal="center" vertical="center" wrapText="1"/>
    </xf>
    <xf numFmtId="164" fontId="8" fillId="4" borderId="3" xfId="0" applyNumberFormat="1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0" fillId="5" borderId="0" xfId="0" applyFill="1"/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4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65" fontId="11" fillId="0" borderId="0" xfId="1" applyNumberFormat="1" applyFont="1"/>
    <xf numFmtId="165" fontId="11" fillId="0" borderId="0" xfId="1" applyNumberFormat="1" applyFont="1" applyAlignment="1">
      <alignment wrapText="1"/>
    </xf>
    <xf numFmtId="0" fontId="11" fillId="0" borderId="0" xfId="2" applyFont="1"/>
    <xf numFmtId="0" fontId="11" fillId="0" borderId="5" xfId="2" applyFont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9" xfId="2" applyFont="1" applyBorder="1" applyAlignment="1">
      <alignment horizontal="center"/>
    </xf>
    <xf numFmtId="0" fontId="11" fillId="0" borderId="10" xfId="2" applyFont="1" applyBorder="1" applyAlignment="1">
      <alignment horizontal="center"/>
    </xf>
    <xf numFmtId="0" fontId="11" fillId="0" borderId="11" xfId="2" applyFont="1" applyBorder="1" applyAlignment="1">
      <alignment horizontal="center"/>
    </xf>
    <xf numFmtId="166" fontId="11" fillId="0" borderId="12" xfId="2" quotePrefix="1" applyNumberFormat="1" applyFont="1" applyBorder="1" applyAlignment="1">
      <alignment horizontal="center"/>
    </xf>
    <xf numFmtId="0" fontId="11" fillId="0" borderId="13" xfId="2" quotePrefix="1" applyFont="1" applyBorder="1"/>
    <xf numFmtId="0" fontId="12" fillId="0" borderId="14" xfId="2" applyFont="1" applyBorder="1" applyAlignment="1">
      <alignment vertical="center"/>
    </xf>
    <xf numFmtId="0" fontId="11" fillId="0" borderId="14" xfId="2" quotePrefix="1" applyFont="1" applyBorder="1"/>
    <xf numFmtId="0" fontId="11" fillId="0" borderId="15" xfId="2" quotePrefix="1" applyFont="1" applyBorder="1" applyAlignment="1">
      <alignment horizontal="right"/>
    </xf>
    <xf numFmtId="167" fontId="11" fillId="0" borderId="16" xfId="1" applyNumberFormat="1" applyFont="1" applyBorder="1" applyAlignment="1">
      <alignment horizontal="right"/>
    </xf>
    <xf numFmtId="166" fontId="11" fillId="0" borderId="12" xfId="2" applyNumberFormat="1" applyFont="1" applyBorder="1" applyAlignment="1">
      <alignment horizontal="center"/>
    </xf>
    <xf numFmtId="0" fontId="11" fillId="0" borderId="13" xfId="2" applyFont="1" applyBorder="1"/>
    <xf numFmtId="0" fontId="11" fillId="0" borderId="14" xfId="2" applyFont="1" applyBorder="1"/>
    <xf numFmtId="167" fontId="11" fillId="0" borderId="16" xfId="1" applyNumberFormat="1" applyFont="1" applyFill="1" applyBorder="1" applyAlignment="1">
      <alignment horizontal="right"/>
    </xf>
    <xf numFmtId="0" fontId="11" fillId="0" borderId="17" xfId="2" applyFont="1" applyBorder="1"/>
    <xf numFmtId="0" fontId="11" fillId="0" borderId="17" xfId="2" quotePrefix="1" applyFont="1" applyBorder="1"/>
    <xf numFmtId="0" fontId="11" fillId="0" borderId="18" xfId="2" quotePrefix="1" applyFont="1" applyBorder="1" applyAlignment="1">
      <alignment horizontal="right"/>
    </xf>
    <xf numFmtId="0" fontId="11" fillId="0" borderId="19" xfId="2" applyFont="1" applyBorder="1"/>
    <xf numFmtId="0" fontId="12" fillId="0" borderId="19" xfId="2" applyFont="1" applyBorder="1" applyAlignment="1">
      <alignment vertical="center"/>
    </xf>
    <xf numFmtId="0" fontId="12" fillId="0" borderId="17" xfId="2" applyFont="1" applyBorder="1" applyAlignment="1">
      <alignment vertical="center"/>
    </xf>
    <xf numFmtId="0" fontId="13" fillId="0" borderId="18" xfId="2" applyFont="1" applyBorder="1" applyAlignment="1">
      <alignment horizontal="left" vertical="center"/>
    </xf>
    <xf numFmtId="167" fontId="11" fillId="0" borderId="16" xfId="1" applyNumberFormat="1" applyFont="1" applyBorder="1"/>
    <xf numFmtId="0" fontId="11" fillId="0" borderId="20" xfId="2" applyFont="1" applyBorder="1" applyAlignment="1">
      <alignment horizontal="center"/>
    </xf>
    <xf numFmtId="0" fontId="11" fillId="0" borderId="21" xfId="2" applyFont="1" applyBorder="1"/>
    <xf numFmtId="0" fontId="11" fillId="0" borderId="22" xfId="2" applyFont="1" applyBorder="1"/>
    <xf numFmtId="0" fontId="11" fillId="0" borderId="23" xfId="2" applyFont="1" applyBorder="1"/>
    <xf numFmtId="0" fontId="14" fillId="0" borderId="24" xfId="2" applyFont="1" applyBorder="1" applyAlignment="1">
      <alignment horizontal="right"/>
    </xf>
    <xf numFmtId="168" fontId="11" fillId="0" borderId="25" xfId="1" applyNumberFormat="1" applyFont="1" applyBorder="1"/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0" fontId="11" fillId="8" borderId="0" xfId="2" applyFont="1" applyFill="1" applyAlignment="1">
      <alignment horizontal="center"/>
    </xf>
    <xf numFmtId="0" fontId="0" fillId="8" borderId="0" xfId="0" applyFill="1" applyAlignment="1">
      <alignment horizontal="center"/>
    </xf>
    <xf numFmtId="14" fontId="11" fillId="0" borderId="18" xfId="2" quotePrefix="1" applyNumberFormat="1" applyFont="1" applyBorder="1" applyAlignment="1">
      <alignment horizontal="right"/>
    </xf>
    <xf numFmtId="0" fontId="11" fillId="0" borderId="19" xfId="2" quotePrefix="1" applyFont="1" applyBorder="1"/>
    <xf numFmtId="0" fontId="11" fillId="0" borderId="0" xfId="2" quotePrefix="1" applyFont="1"/>
    <xf numFmtId="0" fontId="11" fillId="9" borderId="0" xfId="2" applyFont="1" applyFill="1"/>
  </cellXfs>
  <cellStyles count="3">
    <cellStyle name="Comma 2" xfId="1" xr:uid="{3EA424B8-67E8-4E03-8EFF-250B86611D03}"/>
    <cellStyle name="Normal" xfId="0" builtinId="0"/>
    <cellStyle name="Normal 2" xfId="2" xr:uid="{BDCCA53E-9C56-431F-89CE-C91BB16E20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opLeftCell="B1" zoomScale="70" zoomScaleNormal="70" workbookViewId="0">
      <pane ySplit="7" topLeftCell="A17" activePane="bottomLeft" state="frozen"/>
      <selection pane="bottomLeft" activeCell="B23" sqref="A23:XFD23"/>
    </sheetView>
  </sheetViews>
  <sheetFormatPr defaultRowHeight="14.5" x14ac:dyDescent="0.35"/>
  <cols>
    <col min="1" max="1" width="8" customWidth="1"/>
    <col min="2" max="2" width="21.7265625" customWidth="1"/>
    <col min="3" max="3" width="20" customWidth="1"/>
    <col min="4" max="4" width="18" customWidth="1"/>
    <col min="5" max="5" width="42" customWidth="1"/>
    <col min="6" max="6" width="50" customWidth="1"/>
    <col min="7" max="7" width="12" customWidth="1"/>
    <col min="8" max="8" width="26" customWidth="1"/>
    <col min="9" max="10" width="15" customWidth="1"/>
    <col min="11" max="11" width="13.81640625" customWidth="1"/>
  </cols>
  <sheetData>
    <row r="1" spans="1:11" ht="25" x14ac:dyDescent="0.7">
      <c r="A1" s="1" t="s">
        <v>81</v>
      </c>
    </row>
    <row r="2" spans="1:11" ht="16" x14ac:dyDescent="0.45">
      <c r="A2" s="2" t="s">
        <v>82</v>
      </c>
    </row>
    <row r="4" spans="1:11" x14ac:dyDescent="0.35">
      <c r="A4" s="16" t="s">
        <v>83</v>
      </c>
      <c r="B4" s="17"/>
      <c r="C4" s="16" t="s">
        <v>84</v>
      </c>
      <c r="D4" s="17"/>
      <c r="E4" s="16" t="s">
        <v>85</v>
      </c>
      <c r="F4" s="17"/>
      <c r="G4" s="16" t="s">
        <v>86</v>
      </c>
      <c r="H4" s="17"/>
    </row>
    <row r="5" spans="1:11" ht="21" x14ac:dyDescent="0.35">
      <c r="A5" s="19">
        <f>SUM(H8:H39)</f>
        <v>2487698344</v>
      </c>
      <c r="B5" s="17"/>
      <c r="C5" s="18">
        <v>32</v>
      </c>
      <c r="D5" s="17"/>
      <c r="E5" s="20">
        <f>AVERAGE(H8:H39)</f>
        <v>77740573.25</v>
      </c>
      <c r="F5" s="17"/>
      <c r="G5" s="20">
        <f>MAX(H8:H39)</f>
        <v>213928000</v>
      </c>
      <c r="H5" s="17"/>
    </row>
    <row r="7" spans="1:11" ht="16" x14ac:dyDescent="0.35">
      <c r="A7" s="3" t="s">
        <v>0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87</v>
      </c>
      <c r="I7" s="3" t="s">
        <v>9</v>
      </c>
      <c r="J7" s="3" t="s">
        <v>10</v>
      </c>
      <c r="K7" s="21" t="s">
        <v>89</v>
      </c>
    </row>
    <row r="8" spans="1:11" s="9" customFormat="1" ht="16" x14ac:dyDescent="0.35">
      <c r="A8" s="6">
        <v>1</v>
      </c>
      <c r="B8" s="6" t="s">
        <v>11</v>
      </c>
      <c r="C8" s="6" t="s">
        <v>12</v>
      </c>
      <c r="D8" s="6" t="s">
        <v>13</v>
      </c>
      <c r="E8" s="7" t="s">
        <v>1</v>
      </c>
      <c r="F8" s="7" t="s">
        <v>14</v>
      </c>
      <c r="G8" s="6" t="s">
        <v>15</v>
      </c>
      <c r="H8" s="8">
        <v>97242247</v>
      </c>
      <c r="I8" s="6" t="s">
        <v>16</v>
      </c>
      <c r="J8" s="6" t="s">
        <v>17</v>
      </c>
    </row>
    <row r="9" spans="1:11" s="9" customFormat="1" ht="16" x14ac:dyDescent="0.35">
      <c r="A9" s="10">
        <v>2</v>
      </c>
      <c r="B9" s="10" t="s">
        <v>11</v>
      </c>
      <c r="C9" s="10" t="s">
        <v>18</v>
      </c>
      <c r="D9" s="10" t="s">
        <v>13</v>
      </c>
      <c r="E9" s="11" t="s">
        <v>1</v>
      </c>
      <c r="F9" s="11" t="s">
        <v>19</v>
      </c>
      <c r="G9" s="10" t="s">
        <v>15</v>
      </c>
      <c r="H9" s="12">
        <v>117154200</v>
      </c>
      <c r="I9" s="10" t="s">
        <v>16</v>
      </c>
      <c r="J9" s="10" t="s">
        <v>17</v>
      </c>
    </row>
    <row r="10" spans="1:11" s="9" customFormat="1" ht="16" x14ac:dyDescent="0.35">
      <c r="A10" s="6">
        <v>3</v>
      </c>
      <c r="B10" s="6" t="s">
        <v>11</v>
      </c>
      <c r="C10" s="6" t="s">
        <v>20</v>
      </c>
      <c r="D10" s="6" t="s">
        <v>13</v>
      </c>
      <c r="E10" s="7" t="s">
        <v>1</v>
      </c>
      <c r="F10" s="7" t="s">
        <v>21</v>
      </c>
      <c r="G10" s="6" t="s">
        <v>15</v>
      </c>
      <c r="H10" s="8">
        <v>43461000</v>
      </c>
      <c r="I10" s="6" t="s">
        <v>16</v>
      </c>
      <c r="J10" s="6" t="s">
        <v>17</v>
      </c>
    </row>
    <row r="11" spans="1:11" s="9" customFormat="1" ht="16" x14ac:dyDescent="0.35">
      <c r="A11" s="10">
        <v>4</v>
      </c>
      <c r="B11" s="10" t="s">
        <v>11</v>
      </c>
      <c r="C11" s="10" t="s">
        <v>22</v>
      </c>
      <c r="D11" s="10" t="s">
        <v>13</v>
      </c>
      <c r="E11" s="11" t="s">
        <v>1</v>
      </c>
      <c r="F11" s="11" t="s">
        <v>19</v>
      </c>
      <c r="G11" s="10" t="s">
        <v>15</v>
      </c>
      <c r="H11" s="12">
        <v>109603000</v>
      </c>
      <c r="I11" s="10" t="s">
        <v>16</v>
      </c>
      <c r="J11" s="10" t="s">
        <v>17</v>
      </c>
    </row>
    <row r="12" spans="1:11" s="9" customFormat="1" ht="16" x14ac:dyDescent="0.35">
      <c r="A12" s="6">
        <v>5</v>
      </c>
      <c r="B12" s="6" t="s">
        <v>11</v>
      </c>
      <c r="C12" s="6" t="s">
        <v>23</v>
      </c>
      <c r="D12" s="6" t="s">
        <v>13</v>
      </c>
      <c r="E12" s="7" t="s">
        <v>1</v>
      </c>
      <c r="F12" s="7" t="s">
        <v>24</v>
      </c>
      <c r="G12" s="6" t="s">
        <v>15</v>
      </c>
      <c r="H12" s="8">
        <v>53153200</v>
      </c>
      <c r="I12" s="6" t="s">
        <v>16</v>
      </c>
      <c r="J12" s="6" t="s">
        <v>17</v>
      </c>
    </row>
    <row r="13" spans="1:11" s="9" customFormat="1" ht="16" x14ac:dyDescent="0.35">
      <c r="A13" s="13">
        <v>6</v>
      </c>
      <c r="B13" s="13" t="s">
        <v>25</v>
      </c>
      <c r="C13" s="13" t="s">
        <v>26</v>
      </c>
      <c r="D13" s="13" t="s">
        <v>13</v>
      </c>
      <c r="E13" s="14" t="s">
        <v>1</v>
      </c>
      <c r="F13" s="14" t="s">
        <v>27</v>
      </c>
      <c r="G13" s="13" t="s">
        <v>15</v>
      </c>
      <c r="H13" s="15">
        <v>21589166</v>
      </c>
      <c r="I13" s="13" t="s">
        <v>16</v>
      </c>
      <c r="J13" s="13" t="s">
        <v>17</v>
      </c>
    </row>
    <row r="14" spans="1:11" s="9" customFormat="1" ht="52.5" x14ac:dyDescent="0.35">
      <c r="A14" s="10">
        <v>7</v>
      </c>
      <c r="B14" s="10" t="s">
        <v>25</v>
      </c>
      <c r="C14" s="10" t="s">
        <v>28</v>
      </c>
      <c r="D14" s="10" t="s">
        <v>13</v>
      </c>
      <c r="E14" s="11" t="s">
        <v>1</v>
      </c>
      <c r="F14" s="11" t="s">
        <v>19</v>
      </c>
      <c r="G14" s="10" t="s">
        <v>15</v>
      </c>
      <c r="H14" s="12">
        <v>201570700</v>
      </c>
      <c r="I14" s="10" t="s">
        <v>16</v>
      </c>
      <c r="J14" s="10" t="s">
        <v>17</v>
      </c>
      <c r="K14" s="23" t="s">
        <v>90</v>
      </c>
    </row>
    <row r="15" spans="1:11" s="9" customFormat="1" ht="16" x14ac:dyDescent="0.35">
      <c r="A15" s="13">
        <v>8</v>
      </c>
      <c r="B15" s="13" t="s">
        <v>25</v>
      </c>
      <c r="C15" s="13" t="s">
        <v>29</v>
      </c>
      <c r="D15" s="13" t="s">
        <v>13</v>
      </c>
      <c r="E15" s="14" t="s">
        <v>1</v>
      </c>
      <c r="F15" s="14" t="s">
        <v>30</v>
      </c>
      <c r="G15" s="13" t="s">
        <v>15</v>
      </c>
      <c r="H15" s="15">
        <v>28457200</v>
      </c>
      <c r="I15" s="13" t="s">
        <v>16</v>
      </c>
      <c r="J15" s="13" t="s">
        <v>17</v>
      </c>
    </row>
    <row r="16" spans="1:11" s="9" customFormat="1" ht="39.5" x14ac:dyDescent="0.35">
      <c r="A16" s="10">
        <v>9</v>
      </c>
      <c r="B16" s="10" t="s">
        <v>25</v>
      </c>
      <c r="C16" s="10" t="s">
        <v>31</v>
      </c>
      <c r="D16" s="10" t="s">
        <v>13</v>
      </c>
      <c r="E16" s="11" t="s">
        <v>1</v>
      </c>
      <c r="F16" s="11" t="s">
        <v>32</v>
      </c>
      <c r="G16" s="10" t="s">
        <v>15</v>
      </c>
      <c r="H16" s="12">
        <v>100089000</v>
      </c>
      <c r="I16" s="10" t="s">
        <v>16</v>
      </c>
      <c r="J16" s="10" t="s">
        <v>17</v>
      </c>
      <c r="K16" s="23" t="s">
        <v>91</v>
      </c>
    </row>
    <row r="17" spans="1:11" s="9" customFormat="1" ht="16" x14ac:dyDescent="0.35">
      <c r="A17" s="10">
        <v>10</v>
      </c>
      <c r="B17" s="10" t="s">
        <v>25</v>
      </c>
      <c r="C17" s="10" t="s">
        <v>33</v>
      </c>
      <c r="D17" s="10" t="s">
        <v>13</v>
      </c>
      <c r="E17" s="11" t="s">
        <v>1</v>
      </c>
      <c r="F17" s="11" t="s">
        <v>34</v>
      </c>
      <c r="G17" s="10" t="s">
        <v>15</v>
      </c>
      <c r="H17" s="12">
        <v>174810400</v>
      </c>
      <c r="I17" s="10" t="s">
        <v>16</v>
      </c>
      <c r="J17" s="10" t="s">
        <v>17</v>
      </c>
    </row>
    <row r="18" spans="1:11" s="9" customFormat="1" ht="16" x14ac:dyDescent="0.35">
      <c r="A18" s="10">
        <v>11</v>
      </c>
      <c r="B18" s="10" t="s">
        <v>35</v>
      </c>
      <c r="C18" s="10" t="s">
        <v>36</v>
      </c>
      <c r="D18" s="10" t="s">
        <v>13</v>
      </c>
      <c r="E18" s="11" t="s">
        <v>1</v>
      </c>
      <c r="F18" s="11" t="s">
        <v>32</v>
      </c>
      <c r="G18" s="10" t="s">
        <v>15</v>
      </c>
      <c r="H18" s="12">
        <v>116833600</v>
      </c>
      <c r="I18" s="10" t="s">
        <v>16</v>
      </c>
      <c r="J18" s="10" t="s">
        <v>17</v>
      </c>
    </row>
    <row r="19" spans="1:11" s="9" customFormat="1" ht="16" x14ac:dyDescent="0.35">
      <c r="A19" s="10">
        <v>12</v>
      </c>
      <c r="B19" s="10" t="s">
        <v>35</v>
      </c>
      <c r="C19" s="10" t="s">
        <v>37</v>
      </c>
      <c r="D19" s="10" t="s">
        <v>13</v>
      </c>
      <c r="E19" s="11" t="s">
        <v>1</v>
      </c>
      <c r="F19" s="11" t="s">
        <v>38</v>
      </c>
      <c r="G19" s="10" t="s">
        <v>15</v>
      </c>
      <c r="H19" s="12">
        <v>131661000</v>
      </c>
      <c r="I19" s="10" t="s">
        <v>16</v>
      </c>
      <c r="J19" s="10" t="s">
        <v>17</v>
      </c>
      <c r="K19" s="22" t="s">
        <v>92</v>
      </c>
    </row>
    <row r="20" spans="1:11" s="9" customFormat="1" ht="16" x14ac:dyDescent="0.35">
      <c r="A20" s="6">
        <v>13</v>
      </c>
      <c r="B20" s="6" t="s">
        <v>35</v>
      </c>
      <c r="C20" s="6" t="s">
        <v>39</v>
      </c>
      <c r="D20" s="6" t="s">
        <v>13</v>
      </c>
      <c r="E20" s="7" t="s">
        <v>1</v>
      </c>
      <c r="F20" s="7" t="s">
        <v>40</v>
      </c>
      <c r="G20" s="6" t="s">
        <v>15</v>
      </c>
      <c r="H20" s="8">
        <v>98294278</v>
      </c>
      <c r="I20" s="6" t="s">
        <v>16</v>
      </c>
      <c r="J20" s="6" t="s">
        <v>17</v>
      </c>
    </row>
    <row r="21" spans="1:11" s="9" customFormat="1" ht="16" x14ac:dyDescent="0.35">
      <c r="A21" s="13">
        <v>14</v>
      </c>
      <c r="B21" s="13" t="s">
        <v>35</v>
      </c>
      <c r="C21" s="13" t="s">
        <v>41</v>
      </c>
      <c r="D21" s="13" t="s">
        <v>13</v>
      </c>
      <c r="E21" s="14" t="s">
        <v>1</v>
      </c>
      <c r="F21" s="14" t="s">
        <v>42</v>
      </c>
      <c r="G21" s="13" t="s">
        <v>15</v>
      </c>
      <c r="H21" s="15">
        <v>95407500</v>
      </c>
      <c r="I21" s="13" t="s">
        <v>16</v>
      </c>
      <c r="J21" s="13" t="s">
        <v>17</v>
      </c>
      <c r="K21" s="22" t="s">
        <v>93</v>
      </c>
    </row>
    <row r="22" spans="1:11" s="9" customFormat="1" ht="16" x14ac:dyDescent="0.35">
      <c r="A22" s="6">
        <v>15</v>
      </c>
      <c r="B22" s="6" t="s">
        <v>35</v>
      </c>
      <c r="C22" s="6" t="s">
        <v>43</v>
      </c>
      <c r="D22" s="6" t="s">
        <v>13</v>
      </c>
      <c r="E22" s="7" t="s">
        <v>1</v>
      </c>
      <c r="F22" s="7" t="s">
        <v>44</v>
      </c>
      <c r="G22" s="6" t="s">
        <v>15</v>
      </c>
      <c r="H22" s="8">
        <v>42442181</v>
      </c>
      <c r="I22" s="6" t="s">
        <v>16</v>
      </c>
      <c r="J22" s="6" t="s">
        <v>17</v>
      </c>
    </row>
    <row r="23" spans="1:11" s="9" customFormat="1" ht="16" x14ac:dyDescent="0.35">
      <c r="A23" s="13">
        <v>16</v>
      </c>
      <c r="B23" s="13" t="s">
        <v>35</v>
      </c>
      <c r="C23" s="13" t="s">
        <v>45</v>
      </c>
      <c r="D23" s="13" t="s">
        <v>13</v>
      </c>
      <c r="E23" s="14" t="s">
        <v>1</v>
      </c>
      <c r="F23" s="14" t="s">
        <v>46</v>
      </c>
      <c r="G23" s="13" t="s">
        <v>15</v>
      </c>
      <c r="H23" s="15">
        <v>87158400</v>
      </c>
      <c r="I23" s="13" t="s">
        <v>16</v>
      </c>
      <c r="J23" s="13" t="s">
        <v>17</v>
      </c>
      <c r="K23" s="22" t="s">
        <v>94</v>
      </c>
    </row>
    <row r="24" spans="1:11" s="9" customFormat="1" ht="16" x14ac:dyDescent="0.35">
      <c r="A24" s="10">
        <v>17</v>
      </c>
      <c r="B24" s="10" t="s">
        <v>47</v>
      </c>
      <c r="C24" s="10" t="s">
        <v>48</v>
      </c>
      <c r="D24" s="10" t="s">
        <v>13</v>
      </c>
      <c r="E24" s="11" t="s">
        <v>1</v>
      </c>
      <c r="F24" s="11" t="s">
        <v>49</v>
      </c>
      <c r="G24" s="10" t="s">
        <v>15</v>
      </c>
      <c r="H24" s="12">
        <v>103584000</v>
      </c>
      <c r="I24" s="10" t="s">
        <v>16</v>
      </c>
      <c r="J24" s="10" t="s">
        <v>17</v>
      </c>
    </row>
    <row r="25" spans="1:11" s="9" customFormat="1" ht="16" x14ac:dyDescent="0.35">
      <c r="A25" s="13">
        <v>18</v>
      </c>
      <c r="B25" s="13" t="s">
        <v>47</v>
      </c>
      <c r="C25" s="13" t="s">
        <v>50</v>
      </c>
      <c r="D25" s="13" t="s">
        <v>13</v>
      </c>
      <c r="E25" s="14" t="s">
        <v>1</v>
      </c>
      <c r="F25" s="14" t="s">
        <v>51</v>
      </c>
      <c r="G25" s="13" t="s">
        <v>15</v>
      </c>
      <c r="H25" s="15">
        <v>31887200</v>
      </c>
      <c r="I25" s="13" t="s">
        <v>16</v>
      </c>
      <c r="J25" s="13" t="s">
        <v>17</v>
      </c>
    </row>
    <row r="26" spans="1:11" s="9" customFormat="1" ht="16" x14ac:dyDescent="0.35">
      <c r="A26" s="6">
        <v>19</v>
      </c>
      <c r="B26" s="6" t="s">
        <v>47</v>
      </c>
      <c r="C26" s="6" t="s">
        <v>52</v>
      </c>
      <c r="D26" s="6" t="s">
        <v>13</v>
      </c>
      <c r="E26" s="7" t="s">
        <v>1</v>
      </c>
      <c r="F26" s="7" t="s">
        <v>53</v>
      </c>
      <c r="G26" s="6" t="s">
        <v>15</v>
      </c>
      <c r="H26" s="8">
        <v>14894000</v>
      </c>
      <c r="I26" s="6" t="s">
        <v>16</v>
      </c>
      <c r="J26" s="6" t="s">
        <v>17</v>
      </c>
    </row>
    <row r="27" spans="1:11" s="9" customFormat="1" ht="16" x14ac:dyDescent="0.35">
      <c r="A27" s="13">
        <v>20</v>
      </c>
      <c r="B27" s="13" t="s">
        <v>54</v>
      </c>
      <c r="C27" s="13" t="s">
        <v>55</v>
      </c>
      <c r="D27" s="13" t="s">
        <v>13</v>
      </c>
      <c r="E27" s="14" t="s">
        <v>1</v>
      </c>
      <c r="F27" s="14" t="s">
        <v>53</v>
      </c>
      <c r="G27" s="13" t="s">
        <v>15</v>
      </c>
      <c r="H27" s="15">
        <v>4627108</v>
      </c>
      <c r="I27" s="13" t="s">
        <v>16</v>
      </c>
      <c r="J27" s="13" t="s">
        <v>17</v>
      </c>
    </row>
    <row r="28" spans="1:11" s="9" customFormat="1" ht="16" x14ac:dyDescent="0.35">
      <c r="A28" s="6">
        <v>21</v>
      </c>
      <c r="B28" s="6" t="s">
        <v>54</v>
      </c>
      <c r="C28" s="6" t="s">
        <v>56</v>
      </c>
      <c r="D28" s="6" t="s">
        <v>13</v>
      </c>
      <c r="E28" s="7" t="s">
        <v>1</v>
      </c>
      <c r="F28" s="7" t="s">
        <v>57</v>
      </c>
      <c r="G28" s="6" t="s">
        <v>15</v>
      </c>
      <c r="H28" s="8">
        <v>45184500</v>
      </c>
      <c r="I28" s="6" t="s">
        <v>16</v>
      </c>
      <c r="J28" s="6" t="s">
        <v>17</v>
      </c>
      <c r="K28" s="24" t="s">
        <v>95</v>
      </c>
    </row>
    <row r="29" spans="1:11" s="9" customFormat="1" ht="16" x14ac:dyDescent="0.35">
      <c r="A29" s="13">
        <v>22</v>
      </c>
      <c r="B29" s="13" t="s">
        <v>54</v>
      </c>
      <c r="C29" s="13" t="s">
        <v>58</v>
      </c>
      <c r="D29" s="13" t="s">
        <v>13</v>
      </c>
      <c r="E29" s="14" t="s">
        <v>1</v>
      </c>
      <c r="F29" s="14" t="s">
        <v>59</v>
      </c>
      <c r="G29" s="13" t="s">
        <v>15</v>
      </c>
      <c r="H29" s="15">
        <v>32730000</v>
      </c>
      <c r="I29" s="13" t="s">
        <v>16</v>
      </c>
      <c r="J29" s="13" t="s">
        <v>17</v>
      </c>
    </row>
    <row r="30" spans="1:11" s="9" customFormat="1" ht="16" x14ac:dyDescent="0.35">
      <c r="A30" s="10">
        <v>23</v>
      </c>
      <c r="B30" s="10" t="s">
        <v>60</v>
      </c>
      <c r="C30" s="10" t="s">
        <v>61</v>
      </c>
      <c r="D30" s="10" t="s">
        <v>13</v>
      </c>
      <c r="E30" s="11" t="s">
        <v>1</v>
      </c>
      <c r="F30" s="11" t="s">
        <v>62</v>
      </c>
      <c r="G30" s="10" t="s">
        <v>15</v>
      </c>
      <c r="H30" s="12">
        <v>213928000</v>
      </c>
      <c r="I30" s="10" t="s">
        <v>16</v>
      </c>
      <c r="J30" s="10" t="s">
        <v>17</v>
      </c>
    </row>
    <row r="31" spans="1:11" s="9" customFormat="1" ht="16" x14ac:dyDescent="0.35">
      <c r="A31" s="13">
        <v>24</v>
      </c>
      <c r="B31" s="13" t="s">
        <v>60</v>
      </c>
      <c r="C31" s="13" t="s">
        <v>63</v>
      </c>
      <c r="D31" s="13" t="s">
        <v>13</v>
      </c>
      <c r="E31" s="14" t="s">
        <v>1</v>
      </c>
      <c r="F31" s="14" t="s">
        <v>64</v>
      </c>
      <c r="G31" s="13" t="s">
        <v>15</v>
      </c>
      <c r="H31" s="15">
        <v>32674089</v>
      </c>
      <c r="I31" s="13" t="s">
        <v>16</v>
      </c>
      <c r="J31" s="13" t="s">
        <v>17</v>
      </c>
    </row>
    <row r="32" spans="1:11" s="9" customFormat="1" ht="16" x14ac:dyDescent="0.35">
      <c r="A32" s="10">
        <v>25</v>
      </c>
      <c r="B32" s="10" t="s">
        <v>65</v>
      </c>
      <c r="C32" s="10" t="s">
        <v>66</v>
      </c>
      <c r="D32" s="10" t="s">
        <v>13</v>
      </c>
      <c r="E32" s="11" t="s">
        <v>1</v>
      </c>
      <c r="F32" s="11" t="s">
        <v>67</v>
      </c>
      <c r="G32" s="10" t="s">
        <v>15</v>
      </c>
      <c r="H32" s="12">
        <v>120038200</v>
      </c>
      <c r="I32" s="10" t="s">
        <v>16</v>
      </c>
      <c r="J32" s="10" t="s">
        <v>17</v>
      </c>
    </row>
    <row r="33" spans="1:10" s="9" customFormat="1" ht="16" x14ac:dyDescent="0.35">
      <c r="A33" s="10">
        <v>26</v>
      </c>
      <c r="B33" s="10" t="s">
        <v>65</v>
      </c>
      <c r="C33" s="10" t="s">
        <v>68</v>
      </c>
      <c r="D33" s="10" t="s">
        <v>13</v>
      </c>
      <c r="E33" s="11" t="s">
        <v>1</v>
      </c>
      <c r="F33" s="11" t="s">
        <v>67</v>
      </c>
      <c r="G33" s="10" t="s">
        <v>15</v>
      </c>
      <c r="H33" s="12">
        <v>100377375</v>
      </c>
      <c r="I33" s="10" t="s">
        <v>16</v>
      </c>
      <c r="J33" s="10" t="s">
        <v>17</v>
      </c>
    </row>
    <row r="34" spans="1:10" s="9" customFormat="1" ht="16" x14ac:dyDescent="0.35">
      <c r="A34" s="6">
        <v>27</v>
      </c>
      <c r="B34" s="6" t="s">
        <v>65</v>
      </c>
      <c r="C34" s="6" t="s">
        <v>69</v>
      </c>
      <c r="D34" s="6" t="s">
        <v>13</v>
      </c>
      <c r="E34" s="7" t="s">
        <v>1</v>
      </c>
      <c r="F34" s="7" t="s">
        <v>70</v>
      </c>
      <c r="G34" s="6" t="s">
        <v>15</v>
      </c>
      <c r="H34" s="8">
        <v>63110000</v>
      </c>
      <c r="I34" s="6" t="s">
        <v>16</v>
      </c>
      <c r="J34" s="6" t="s">
        <v>17</v>
      </c>
    </row>
    <row r="35" spans="1:10" s="9" customFormat="1" ht="16" x14ac:dyDescent="0.35">
      <c r="A35" s="10">
        <v>28</v>
      </c>
      <c r="B35" s="10" t="s">
        <v>65</v>
      </c>
      <c r="C35" s="10" t="s">
        <v>71</v>
      </c>
      <c r="D35" s="10" t="s">
        <v>13</v>
      </c>
      <c r="E35" s="11" t="s">
        <v>1</v>
      </c>
      <c r="F35" s="11" t="s">
        <v>72</v>
      </c>
      <c r="G35" s="10" t="s">
        <v>15</v>
      </c>
      <c r="H35" s="12">
        <v>145563000</v>
      </c>
      <c r="I35" s="10" t="s">
        <v>16</v>
      </c>
      <c r="J35" s="10" t="s">
        <v>17</v>
      </c>
    </row>
    <row r="36" spans="1:10" s="9" customFormat="1" ht="16" x14ac:dyDescent="0.35">
      <c r="A36" s="6">
        <v>29</v>
      </c>
      <c r="B36" s="6" t="s">
        <v>65</v>
      </c>
      <c r="C36" s="6" t="s">
        <v>73</v>
      </c>
      <c r="D36" s="6" t="s">
        <v>13</v>
      </c>
      <c r="E36" s="7" t="s">
        <v>1</v>
      </c>
      <c r="F36" s="7" t="s">
        <v>74</v>
      </c>
      <c r="G36" s="6" t="s">
        <v>15</v>
      </c>
      <c r="H36" s="8">
        <v>13326000</v>
      </c>
      <c r="I36" s="6" t="s">
        <v>16</v>
      </c>
      <c r="J36" s="6" t="s">
        <v>17</v>
      </c>
    </row>
    <row r="37" spans="1:10" s="9" customFormat="1" ht="16" x14ac:dyDescent="0.35">
      <c r="A37" s="13">
        <v>30</v>
      </c>
      <c r="B37" s="13" t="s">
        <v>65</v>
      </c>
      <c r="C37" s="13" t="s">
        <v>75</v>
      </c>
      <c r="D37" s="13" t="s">
        <v>13</v>
      </c>
      <c r="E37" s="14" t="s">
        <v>1</v>
      </c>
      <c r="F37" s="14" t="s">
        <v>76</v>
      </c>
      <c r="G37" s="13" t="s">
        <v>15</v>
      </c>
      <c r="H37" s="15">
        <v>10778000</v>
      </c>
      <c r="I37" s="13" t="s">
        <v>16</v>
      </c>
      <c r="J37" s="13" t="s">
        <v>17</v>
      </c>
    </row>
    <row r="38" spans="1:10" s="9" customFormat="1" ht="16" x14ac:dyDescent="0.35">
      <c r="A38" s="6">
        <v>31</v>
      </c>
      <c r="B38" s="6" t="s">
        <v>65</v>
      </c>
      <c r="C38" s="6" t="s">
        <v>77</v>
      </c>
      <c r="D38" s="6" t="s">
        <v>13</v>
      </c>
      <c r="E38" s="7" t="s">
        <v>1</v>
      </c>
      <c r="F38" s="7" t="s">
        <v>78</v>
      </c>
      <c r="G38" s="6" t="s">
        <v>15</v>
      </c>
      <c r="H38" s="8">
        <v>2203000</v>
      </c>
      <c r="I38" s="6" t="s">
        <v>16</v>
      </c>
      <c r="J38" s="6" t="s">
        <v>17</v>
      </c>
    </row>
    <row r="39" spans="1:10" s="9" customFormat="1" ht="16" x14ac:dyDescent="0.35">
      <c r="A39" s="13">
        <v>32</v>
      </c>
      <c r="B39" s="13" t="s">
        <v>65</v>
      </c>
      <c r="C39" s="13" t="s">
        <v>79</v>
      </c>
      <c r="D39" s="13" t="s">
        <v>13</v>
      </c>
      <c r="E39" s="14" t="s">
        <v>1</v>
      </c>
      <c r="F39" s="14" t="s">
        <v>80</v>
      </c>
      <c r="G39" s="13" t="s">
        <v>15</v>
      </c>
      <c r="H39" s="15">
        <v>33866800</v>
      </c>
      <c r="I39" s="13" t="s">
        <v>16</v>
      </c>
      <c r="J39" s="13" t="s">
        <v>17</v>
      </c>
    </row>
    <row r="40" spans="1:10" ht="16" x14ac:dyDescent="0.35">
      <c r="A40" s="5"/>
      <c r="B40" s="5" t="s">
        <v>88</v>
      </c>
      <c r="C40" s="5" t="s">
        <v>2</v>
      </c>
      <c r="D40" s="5" t="s">
        <v>2</v>
      </c>
      <c r="E40" s="5" t="s">
        <v>2</v>
      </c>
      <c r="F40" s="5" t="s">
        <v>2</v>
      </c>
      <c r="G40" s="5" t="s">
        <v>2</v>
      </c>
      <c r="H40" s="4">
        <f>SUM(H8:H39)</f>
        <v>2487698344</v>
      </c>
      <c r="I40" s="5" t="s">
        <v>2</v>
      </c>
      <c r="J40" s="5" t="s">
        <v>2</v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91C0E-A090-4061-96B5-AA1C105C987C}">
  <dimension ref="A1:AE141"/>
  <sheetViews>
    <sheetView tabSelected="1" topLeftCell="A15" workbookViewId="0">
      <selection activeCell="A23" sqref="A23:B25"/>
    </sheetView>
  </sheetViews>
  <sheetFormatPr defaultRowHeight="14.5" x14ac:dyDescent="0.35"/>
  <cols>
    <col min="7" max="7" width="13.36328125" bestFit="1" customWidth="1"/>
    <col min="15" max="15" width="13.36328125" bestFit="1" customWidth="1"/>
    <col min="23" max="23" width="13.36328125" bestFit="1" customWidth="1"/>
    <col min="31" max="31" width="13.36328125" bestFit="1" customWidth="1"/>
  </cols>
  <sheetData>
    <row r="1" spans="1:7" ht="15" thickBot="1" x14ac:dyDescent="0.4">
      <c r="A1" t="s">
        <v>96</v>
      </c>
    </row>
    <row r="2" spans="1:7" ht="15" thickBot="1" x14ac:dyDescent="0.4">
      <c r="A2" s="25" t="s">
        <v>0</v>
      </c>
      <c r="B2" s="26" t="s">
        <v>97</v>
      </c>
      <c r="C2" s="27"/>
      <c r="D2" s="28" t="s">
        <v>98</v>
      </c>
      <c r="E2" s="28"/>
      <c r="F2" s="29"/>
      <c r="G2" s="30" t="s">
        <v>99</v>
      </c>
    </row>
    <row r="3" spans="1:7" x14ac:dyDescent="0.35">
      <c r="A3" s="31">
        <v>1</v>
      </c>
      <c r="B3" s="32" t="s">
        <v>319</v>
      </c>
      <c r="C3" s="33" t="s">
        <v>320</v>
      </c>
      <c r="D3" s="34"/>
      <c r="E3" s="35"/>
      <c r="F3" s="36"/>
      <c r="G3" s="37">
        <v>38750000</v>
      </c>
    </row>
    <row r="4" spans="1:7" x14ac:dyDescent="0.35">
      <c r="A4" s="31"/>
      <c r="B4" s="38"/>
      <c r="C4" s="33" t="s">
        <v>102</v>
      </c>
      <c r="D4" s="34"/>
      <c r="E4" s="35" t="s">
        <v>321</v>
      </c>
      <c r="F4" s="36" t="s">
        <v>322</v>
      </c>
      <c r="G4" s="37">
        <f t="shared" ref="G4" si="0">0.02*-G3</f>
        <v>-775000</v>
      </c>
    </row>
    <row r="5" spans="1:7" x14ac:dyDescent="0.35">
      <c r="A5" s="31"/>
      <c r="B5" s="32"/>
      <c r="C5" s="39" t="s">
        <v>323</v>
      </c>
      <c r="D5" s="40"/>
      <c r="E5" s="35"/>
      <c r="F5" s="36"/>
      <c r="G5" s="41">
        <f>15150*-413</f>
        <v>-6256950</v>
      </c>
    </row>
    <row r="6" spans="1:7" x14ac:dyDescent="0.35">
      <c r="A6" s="31">
        <v>2</v>
      </c>
      <c r="B6" s="32" t="s">
        <v>324</v>
      </c>
      <c r="C6" s="33" t="s">
        <v>325</v>
      </c>
      <c r="D6" s="42"/>
      <c r="E6" s="43"/>
      <c r="F6" s="44"/>
      <c r="G6" s="37">
        <v>15500000</v>
      </c>
    </row>
    <row r="7" spans="1:7" x14ac:dyDescent="0.35">
      <c r="A7" s="31"/>
      <c r="B7" s="32"/>
      <c r="C7" s="45" t="s">
        <v>102</v>
      </c>
      <c r="D7" s="42"/>
      <c r="E7" s="35" t="s">
        <v>326</v>
      </c>
      <c r="F7" s="36" t="s">
        <v>327</v>
      </c>
      <c r="G7" s="37">
        <f t="shared" ref="G7" si="1">0.02*-G6</f>
        <v>-310000</v>
      </c>
    </row>
    <row r="8" spans="1:7" x14ac:dyDescent="0.35">
      <c r="A8" s="31"/>
      <c r="B8" s="32"/>
      <c r="C8" s="45" t="s">
        <v>105</v>
      </c>
      <c r="D8" s="42"/>
      <c r="E8" s="43"/>
      <c r="F8" s="44"/>
      <c r="G8" s="41">
        <f>15150*-251</f>
        <v>-3802650</v>
      </c>
    </row>
    <row r="9" spans="1:7" x14ac:dyDescent="0.35">
      <c r="A9" s="31">
        <v>3</v>
      </c>
      <c r="B9" s="32" t="s">
        <v>328</v>
      </c>
      <c r="C9" s="33" t="s">
        <v>329</v>
      </c>
      <c r="D9" s="34"/>
      <c r="E9" s="35"/>
      <c r="F9" s="36"/>
      <c r="G9" s="37">
        <v>54250000</v>
      </c>
    </row>
    <row r="10" spans="1:7" x14ac:dyDescent="0.35">
      <c r="A10" s="31"/>
      <c r="B10" s="38"/>
      <c r="C10" s="33" t="s">
        <v>102</v>
      </c>
      <c r="D10" s="34"/>
      <c r="E10" s="35" t="s">
        <v>330</v>
      </c>
      <c r="F10" s="36" t="s">
        <v>331</v>
      </c>
      <c r="G10" s="37">
        <f t="shared" ref="G10" si="2">0.02*-G9</f>
        <v>-1085000</v>
      </c>
    </row>
    <row r="11" spans="1:7" x14ac:dyDescent="0.35">
      <c r="A11" s="31"/>
      <c r="B11" s="32"/>
      <c r="C11" s="39" t="s">
        <v>332</v>
      </c>
      <c r="D11" s="42"/>
      <c r="E11" s="43"/>
      <c r="F11" s="44"/>
      <c r="G11" s="41">
        <f>15150*-88</f>
        <v>-1333200</v>
      </c>
    </row>
    <row r="12" spans="1:7" x14ac:dyDescent="0.35">
      <c r="A12" s="31"/>
      <c r="B12" s="32"/>
      <c r="C12" s="39" t="s">
        <v>333</v>
      </c>
      <c r="D12" s="42"/>
      <c r="E12" s="43"/>
      <c r="F12" s="44"/>
      <c r="G12" s="41">
        <f>15050*-595</f>
        <v>-8954750</v>
      </c>
    </row>
    <row r="13" spans="1:7" x14ac:dyDescent="0.35">
      <c r="A13" s="31">
        <v>4</v>
      </c>
      <c r="B13" s="32" t="s">
        <v>334</v>
      </c>
      <c r="C13" s="33" t="s">
        <v>335</v>
      </c>
      <c r="D13" s="34"/>
      <c r="E13" s="35"/>
      <c r="F13" s="36"/>
      <c r="G13" s="37">
        <v>31000000</v>
      </c>
    </row>
    <row r="14" spans="1:7" x14ac:dyDescent="0.35">
      <c r="A14" s="31"/>
      <c r="B14" s="38"/>
      <c r="C14" s="33" t="s">
        <v>102</v>
      </c>
      <c r="D14" s="34"/>
      <c r="E14" s="35" t="s">
        <v>336</v>
      </c>
      <c r="F14" s="36" t="s">
        <v>337</v>
      </c>
      <c r="G14" s="37">
        <f t="shared" ref="G14" si="3">0.02*-G13</f>
        <v>-620000</v>
      </c>
    </row>
    <row r="15" spans="1:7" x14ac:dyDescent="0.35">
      <c r="A15" s="31"/>
      <c r="B15" s="32"/>
      <c r="C15" s="39" t="s">
        <v>338</v>
      </c>
      <c r="D15" s="42"/>
      <c r="E15" s="43"/>
      <c r="F15" s="44"/>
      <c r="G15" s="41">
        <f>15050*-449</f>
        <v>-6757450</v>
      </c>
    </row>
    <row r="16" spans="1:7" x14ac:dyDescent="0.35">
      <c r="A16" s="31"/>
      <c r="B16" s="32"/>
      <c r="C16" s="33"/>
      <c r="D16" s="34"/>
      <c r="E16" s="35"/>
      <c r="F16" s="36"/>
      <c r="G16" s="37"/>
    </row>
    <row r="17" spans="1:31" x14ac:dyDescent="0.35">
      <c r="A17" s="31"/>
      <c r="B17" s="32"/>
      <c r="C17" s="45"/>
      <c r="D17" s="42"/>
      <c r="E17" s="43"/>
      <c r="F17" s="44"/>
      <c r="G17" s="41"/>
    </row>
    <row r="18" spans="1:31" x14ac:dyDescent="0.35">
      <c r="A18" s="31"/>
      <c r="B18" s="32"/>
      <c r="C18" s="46"/>
      <c r="D18" s="47"/>
      <c r="E18" s="47"/>
      <c r="F18" s="48"/>
      <c r="G18" s="49"/>
    </row>
    <row r="19" spans="1:31" ht="15" thickBot="1" x14ac:dyDescent="0.4">
      <c r="A19" s="50"/>
      <c r="B19" s="51"/>
      <c r="C19" s="52"/>
      <c r="D19" s="53"/>
      <c r="E19" s="53"/>
      <c r="F19" s="54" t="s">
        <v>129</v>
      </c>
      <c r="G19" s="55">
        <f>SUM(G3:G18)</f>
        <v>109605000</v>
      </c>
    </row>
    <row r="20" spans="1:31" x14ac:dyDescent="0.35">
      <c r="A20" s="24"/>
      <c r="B20" s="24"/>
      <c r="C20" s="24"/>
      <c r="D20" s="24"/>
      <c r="E20" s="24"/>
    </row>
    <row r="21" spans="1:31" x14ac:dyDescent="0.35">
      <c r="A21" s="24" t="s">
        <v>130</v>
      </c>
      <c r="B21" s="24"/>
      <c r="C21" s="24"/>
      <c r="D21" s="24"/>
      <c r="E21" s="56"/>
    </row>
    <row r="22" spans="1:31" x14ac:dyDescent="0.35">
      <c r="A22" s="24" t="s">
        <v>131</v>
      </c>
      <c r="B22" s="24"/>
      <c r="C22" s="24"/>
      <c r="D22" s="24"/>
      <c r="E22" s="56"/>
    </row>
    <row r="23" spans="1:31" x14ac:dyDescent="0.35">
      <c r="A23" s="63" t="s">
        <v>265</v>
      </c>
      <c r="B23" s="24"/>
      <c r="C23" s="24"/>
      <c r="D23" s="24"/>
      <c r="E23" s="56"/>
    </row>
    <row r="24" spans="1:31" x14ac:dyDescent="0.35">
      <c r="A24" s="24" t="s">
        <v>266</v>
      </c>
      <c r="B24" s="62" t="s">
        <v>267</v>
      </c>
      <c r="C24" s="24"/>
      <c r="D24" s="24"/>
      <c r="E24" s="56"/>
    </row>
    <row r="25" spans="1:31" x14ac:dyDescent="0.35">
      <c r="A25" s="24" t="s">
        <v>134</v>
      </c>
      <c r="B25" s="24" t="s">
        <v>135</v>
      </c>
      <c r="C25" s="24"/>
      <c r="D25" s="24"/>
      <c r="E25" s="56"/>
    </row>
    <row r="26" spans="1:31" x14ac:dyDescent="0.35">
      <c r="A26" s="24" t="s">
        <v>339</v>
      </c>
      <c r="B26" s="24"/>
      <c r="C26" s="24"/>
      <c r="D26" s="24"/>
      <c r="E26" s="57"/>
    </row>
    <row r="27" spans="1:31" x14ac:dyDescent="0.35">
      <c r="A27" s="24"/>
      <c r="B27" s="24"/>
      <c r="C27" s="24"/>
      <c r="D27" s="24"/>
      <c r="E27" s="57"/>
    </row>
    <row r="28" spans="1:31" s="59" customFormat="1" x14ac:dyDescent="0.35"/>
    <row r="29" spans="1:31" s="59" customFormat="1" x14ac:dyDescent="0.35"/>
    <row r="30" spans="1:31" ht="15" thickBot="1" x14ac:dyDescent="0.4"/>
    <row r="31" spans="1:31" ht="15" thickBot="1" x14ac:dyDescent="0.4">
      <c r="A31" s="25" t="s">
        <v>0</v>
      </c>
      <c r="B31" s="26" t="s">
        <v>97</v>
      </c>
      <c r="C31" s="27"/>
      <c r="D31" s="28" t="s">
        <v>98</v>
      </c>
      <c r="E31" s="28"/>
      <c r="F31" s="29"/>
      <c r="G31" s="30" t="s">
        <v>99</v>
      </c>
      <c r="I31" s="25" t="s">
        <v>0</v>
      </c>
      <c r="J31" s="26" t="s">
        <v>97</v>
      </c>
      <c r="K31" s="27"/>
      <c r="L31" s="28" t="s">
        <v>98</v>
      </c>
      <c r="M31" s="28"/>
      <c r="N31" s="29"/>
      <c r="O31" s="30" t="s">
        <v>99</v>
      </c>
      <c r="Q31" s="25" t="s">
        <v>0</v>
      </c>
      <c r="R31" s="26" t="s">
        <v>97</v>
      </c>
      <c r="S31" s="27"/>
      <c r="T31" s="28" t="s">
        <v>98</v>
      </c>
      <c r="U31" s="28"/>
      <c r="V31" s="29"/>
      <c r="W31" s="30" t="s">
        <v>99</v>
      </c>
      <c r="Y31" s="25" t="s">
        <v>0</v>
      </c>
      <c r="Z31" s="26" t="s">
        <v>97</v>
      </c>
      <c r="AA31" s="27"/>
      <c r="AB31" s="28" t="s">
        <v>98</v>
      </c>
      <c r="AC31" s="28"/>
      <c r="AD31" s="29"/>
      <c r="AE31" s="30" t="s">
        <v>99</v>
      </c>
    </row>
    <row r="32" spans="1:31" x14ac:dyDescent="0.35">
      <c r="A32" s="31">
        <v>1</v>
      </c>
      <c r="B32" s="32" t="s">
        <v>100</v>
      </c>
      <c r="C32" s="33" t="s">
        <v>101</v>
      </c>
      <c r="D32" s="34"/>
      <c r="E32" s="35"/>
      <c r="F32" s="36"/>
      <c r="G32" s="37">
        <v>46500000</v>
      </c>
      <c r="I32" s="31">
        <v>1</v>
      </c>
      <c r="J32" s="32" t="s">
        <v>137</v>
      </c>
      <c r="K32" s="33" t="s">
        <v>126</v>
      </c>
      <c r="L32" s="34"/>
      <c r="M32" s="35"/>
      <c r="N32" s="36"/>
      <c r="O32" s="37">
        <v>31000000</v>
      </c>
      <c r="Q32" s="31">
        <v>1</v>
      </c>
      <c r="R32" s="32" t="s">
        <v>151</v>
      </c>
      <c r="S32" s="33" t="s">
        <v>152</v>
      </c>
      <c r="T32" s="34"/>
      <c r="U32" s="35"/>
      <c r="V32" s="36"/>
      <c r="W32" s="37">
        <v>7750000</v>
      </c>
      <c r="Y32" s="31">
        <v>1</v>
      </c>
      <c r="Z32" s="32" t="s">
        <v>161</v>
      </c>
      <c r="AA32" s="33" t="s">
        <v>162</v>
      </c>
      <c r="AB32" s="34"/>
      <c r="AC32" s="35"/>
      <c r="AD32" s="36"/>
      <c r="AE32" s="37">
        <v>48750000</v>
      </c>
    </row>
    <row r="33" spans="1:31" x14ac:dyDescent="0.35">
      <c r="A33" s="31"/>
      <c r="B33" s="38"/>
      <c r="C33" s="33" t="s">
        <v>102</v>
      </c>
      <c r="D33" s="34"/>
      <c r="E33" s="35" t="s">
        <v>103</v>
      </c>
      <c r="F33" s="36" t="s">
        <v>104</v>
      </c>
      <c r="G33" s="37">
        <f t="shared" ref="G33" si="4">0.02*-G32</f>
        <v>-930000</v>
      </c>
      <c r="I33" s="31"/>
      <c r="J33" s="38"/>
      <c r="K33" s="33" t="s">
        <v>102</v>
      </c>
      <c r="L33" s="34"/>
      <c r="M33" s="35" t="s">
        <v>138</v>
      </c>
      <c r="N33" s="36" t="s">
        <v>139</v>
      </c>
      <c r="O33" s="37">
        <f t="shared" ref="O33" si="5">0.02*-O32</f>
        <v>-620000</v>
      </c>
      <c r="Q33" s="31"/>
      <c r="R33" s="38"/>
      <c r="S33" s="33" t="s">
        <v>102</v>
      </c>
      <c r="T33" s="34"/>
      <c r="U33" s="35" t="s">
        <v>153</v>
      </c>
      <c r="V33" s="36" t="s">
        <v>154</v>
      </c>
      <c r="W33" s="37">
        <f t="shared" ref="W33" si="6">0.02*-W32</f>
        <v>-155000</v>
      </c>
      <c r="Y33" s="31"/>
      <c r="Z33" s="38"/>
      <c r="AA33" s="33" t="s">
        <v>102</v>
      </c>
      <c r="AB33" s="34"/>
      <c r="AC33" s="35" t="s">
        <v>163</v>
      </c>
      <c r="AD33" s="36" t="s">
        <v>164</v>
      </c>
      <c r="AE33" s="37">
        <f t="shared" ref="AE33" si="7">0.02*-AE32</f>
        <v>-975000</v>
      </c>
    </row>
    <row r="34" spans="1:31" x14ac:dyDescent="0.35">
      <c r="A34" s="31"/>
      <c r="B34" s="32"/>
      <c r="C34" s="39" t="s">
        <v>105</v>
      </c>
      <c r="D34" s="40"/>
      <c r="E34" s="35"/>
      <c r="F34" s="36"/>
      <c r="G34" s="41">
        <f>15050*-251</f>
        <v>-3777550</v>
      </c>
      <c r="I34" s="31"/>
      <c r="J34" s="32"/>
      <c r="K34" s="39" t="s">
        <v>140</v>
      </c>
      <c r="L34" s="40"/>
      <c r="M34" s="35"/>
      <c r="N34" s="36"/>
      <c r="O34" s="41">
        <f>15050*-290</f>
        <v>-4364500</v>
      </c>
      <c r="Q34" s="31"/>
      <c r="R34" s="32" t="s">
        <v>155</v>
      </c>
      <c r="S34" s="33" t="s">
        <v>156</v>
      </c>
      <c r="T34" s="42"/>
      <c r="U34" s="43"/>
      <c r="V34" s="44"/>
      <c r="W34" s="37">
        <v>147250000</v>
      </c>
      <c r="Y34" s="31"/>
      <c r="Z34" s="32"/>
      <c r="AA34" s="39" t="s">
        <v>165</v>
      </c>
      <c r="AB34" s="42"/>
      <c r="AC34" s="43"/>
      <c r="AD34" s="44"/>
      <c r="AE34" s="41">
        <f>14750*-534</f>
        <v>-7876500</v>
      </c>
    </row>
    <row r="35" spans="1:31" x14ac:dyDescent="0.35">
      <c r="A35" s="31">
        <v>2</v>
      </c>
      <c r="B35" s="32" t="s">
        <v>106</v>
      </c>
      <c r="C35" s="33" t="s">
        <v>107</v>
      </c>
      <c r="D35" s="42"/>
      <c r="E35" s="43"/>
      <c r="F35" s="44"/>
      <c r="G35" s="37">
        <v>31000000</v>
      </c>
      <c r="I35" s="31">
        <v>2</v>
      </c>
      <c r="J35" s="32" t="s">
        <v>141</v>
      </c>
      <c r="K35" s="33" t="s">
        <v>142</v>
      </c>
      <c r="L35" s="42"/>
      <c r="M35" s="43"/>
      <c r="N35" s="44"/>
      <c r="O35" s="37">
        <v>62000000</v>
      </c>
      <c r="Q35" s="31">
        <v>2</v>
      </c>
      <c r="R35" s="32"/>
      <c r="S35" s="45" t="s">
        <v>102</v>
      </c>
      <c r="T35" s="42"/>
      <c r="U35" s="35" t="s">
        <v>157</v>
      </c>
      <c r="V35" s="36" t="s">
        <v>158</v>
      </c>
      <c r="W35" s="37">
        <f t="shared" ref="W35" si="8">0.02*-W34</f>
        <v>-2945000</v>
      </c>
      <c r="Y35" s="31"/>
      <c r="Z35" s="32"/>
      <c r="AA35" s="39" t="s">
        <v>166</v>
      </c>
      <c r="AB35" s="42"/>
      <c r="AC35" s="43"/>
      <c r="AD35" s="44"/>
      <c r="AE35" s="41">
        <f>14200*-211</f>
        <v>-2996200</v>
      </c>
    </row>
    <row r="36" spans="1:31" x14ac:dyDescent="0.35">
      <c r="A36" s="31"/>
      <c r="B36" s="32"/>
      <c r="C36" s="45" t="s">
        <v>102</v>
      </c>
      <c r="D36" s="42"/>
      <c r="E36" s="35" t="s">
        <v>108</v>
      </c>
      <c r="F36" s="36" t="s">
        <v>109</v>
      </c>
      <c r="G36" s="37">
        <f t="shared" ref="G36" si="9">0.02*-G35</f>
        <v>-620000</v>
      </c>
      <c r="I36" s="31"/>
      <c r="J36" s="32"/>
      <c r="K36" s="45" t="s">
        <v>102</v>
      </c>
      <c r="L36" s="42"/>
      <c r="M36" s="35" t="s">
        <v>143</v>
      </c>
      <c r="N36" s="36" t="s">
        <v>144</v>
      </c>
      <c r="O36" s="37">
        <f t="shared" ref="O36" si="10">0.02*-O35</f>
        <v>-1240000</v>
      </c>
      <c r="Q36" s="31"/>
      <c r="R36" s="32"/>
      <c r="S36" s="39" t="s">
        <v>159</v>
      </c>
      <c r="T36" s="42"/>
      <c r="U36" s="43"/>
      <c r="V36" s="44"/>
      <c r="W36" s="41">
        <f>14750*-1372</f>
        <v>-20237000</v>
      </c>
      <c r="Y36" s="31">
        <v>2</v>
      </c>
      <c r="Z36" s="32" t="s">
        <v>167</v>
      </c>
      <c r="AA36" s="33" t="s">
        <v>168</v>
      </c>
      <c r="AB36" s="42"/>
      <c r="AC36" s="43"/>
      <c r="AD36" s="44"/>
      <c r="AE36" s="37">
        <v>46500000</v>
      </c>
    </row>
    <row r="37" spans="1:31" x14ac:dyDescent="0.35">
      <c r="A37" s="31">
        <v>3</v>
      </c>
      <c r="B37" s="32" t="s">
        <v>110</v>
      </c>
      <c r="C37" s="33" t="s">
        <v>111</v>
      </c>
      <c r="D37" s="34"/>
      <c r="E37" s="35"/>
      <c r="F37" s="36"/>
      <c r="G37" s="37">
        <v>93000000</v>
      </c>
      <c r="I37" s="31"/>
      <c r="J37" s="32"/>
      <c r="K37" s="39" t="s">
        <v>145</v>
      </c>
      <c r="L37" s="42"/>
      <c r="M37" s="43"/>
      <c r="N37" s="44"/>
      <c r="O37" s="41">
        <f>14750*-443</f>
        <v>-6534250</v>
      </c>
      <c r="Q37" s="31"/>
      <c r="R37" s="32"/>
      <c r="S37" s="33"/>
      <c r="T37" s="34"/>
      <c r="U37" s="35"/>
      <c r="V37" s="36"/>
      <c r="W37" s="37"/>
      <c r="Y37" s="31"/>
      <c r="Z37" s="32"/>
      <c r="AA37" s="45" t="s">
        <v>102</v>
      </c>
      <c r="AB37" s="42"/>
      <c r="AC37" s="35" t="s">
        <v>169</v>
      </c>
      <c r="AD37" s="36" t="s">
        <v>170</v>
      </c>
      <c r="AE37" s="37">
        <f t="shared" ref="AE37" si="11">0.02*-AE36</f>
        <v>-930000</v>
      </c>
    </row>
    <row r="38" spans="1:31" x14ac:dyDescent="0.35">
      <c r="A38" s="31"/>
      <c r="B38" s="38"/>
      <c r="C38" s="33" t="s">
        <v>102</v>
      </c>
      <c r="D38" s="34"/>
      <c r="E38" s="35" t="s">
        <v>112</v>
      </c>
      <c r="F38" s="36" t="s">
        <v>113</v>
      </c>
      <c r="G38" s="37">
        <f t="shared" ref="G38" si="12">0.02*-G37</f>
        <v>-1860000</v>
      </c>
      <c r="I38" s="31">
        <v>3</v>
      </c>
      <c r="J38" s="32" t="s">
        <v>146</v>
      </c>
      <c r="K38" s="33" t="s">
        <v>147</v>
      </c>
      <c r="L38" s="34"/>
      <c r="M38" s="35"/>
      <c r="N38" s="36"/>
      <c r="O38" s="37">
        <v>23250000</v>
      </c>
      <c r="Q38" s="31">
        <v>3</v>
      </c>
      <c r="R38" s="38"/>
      <c r="S38" s="33"/>
      <c r="T38" s="34"/>
      <c r="U38" s="35"/>
      <c r="V38" s="36"/>
      <c r="W38" s="37"/>
      <c r="Y38" s="31"/>
      <c r="Z38" s="32"/>
      <c r="AA38" s="39" t="s">
        <v>171</v>
      </c>
      <c r="AB38" s="42"/>
      <c r="AC38" s="43"/>
      <c r="AD38" s="44"/>
      <c r="AE38" s="41">
        <f>14750*-378</f>
        <v>-5575500</v>
      </c>
    </row>
    <row r="39" spans="1:31" x14ac:dyDescent="0.35">
      <c r="A39" s="31"/>
      <c r="B39" s="32"/>
      <c r="C39" s="39" t="s">
        <v>114</v>
      </c>
      <c r="D39" s="42"/>
      <c r="E39" s="43"/>
      <c r="F39" s="44"/>
      <c r="G39" s="41">
        <f>15050*-901</f>
        <v>-13560050</v>
      </c>
      <c r="I39" s="31"/>
      <c r="J39" s="38"/>
      <c r="K39" s="33" t="s">
        <v>102</v>
      </c>
      <c r="L39" s="34"/>
      <c r="M39" s="35" t="s">
        <v>148</v>
      </c>
      <c r="N39" s="36" t="s">
        <v>149</v>
      </c>
      <c r="O39" s="37">
        <f t="shared" ref="O39" si="13">0.02*-O38</f>
        <v>-465000</v>
      </c>
      <c r="Q39" s="31"/>
      <c r="R39" s="38"/>
      <c r="S39" s="33"/>
      <c r="T39" s="34"/>
      <c r="U39" s="35"/>
      <c r="V39" s="36"/>
      <c r="W39" s="37"/>
      <c r="Y39" s="31">
        <v>3</v>
      </c>
      <c r="Z39" s="32" t="s">
        <v>172</v>
      </c>
      <c r="AA39" s="33" t="s">
        <v>173</v>
      </c>
      <c r="AB39" s="42"/>
      <c r="AC39" s="43"/>
      <c r="AD39" s="44"/>
      <c r="AE39" s="37">
        <v>23250000</v>
      </c>
    </row>
    <row r="40" spans="1:31" x14ac:dyDescent="0.35">
      <c r="A40" s="31">
        <v>4</v>
      </c>
      <c r="B40" s="32" t="s">
        <v>115</v>
      </c>
      <c r="C40" s="33" t="s">
        <v>116</v>
      </c>
      <c r="D40" s="34"/>
      <c r="E40" s="35"/>
      <c r="F40" s="36"/>
      <c r="G40" s="37">
        <v>38750000</v>
      </c>
      <c r="I40" s="31"/>
      <c r="J40" s="32"/>
      <c r="K40" s="39" t="s">
        <v>150</v>
      </c>
      <c r="L40" s="42"/>
      <c r="M40" s="43"/>
      <c r="N40" s="44"/>
      <c r="O40" s="41">
        <f>14750*-199</f>
        <v>-2935250</v>
      </c>
      <c r="Q40" s="31"/>
      <c r="R40" s="32"/>
      <c r="S40" s="45"/>
      <c r="T40" s="42"/>
      <c r="U40" s="35"/>
      <c r="V40" s="36"/>
      <c r="W40" s="37"/>
      <c r="Y40" s="31"/>
      <c r="Z40" s="32"/>
      <c r="AA40" s="45" t="s">
        <v>102</v>
      </c>
      <c r="AB40" s="42"/>
      <c r="AC40" s="35" t="s">
        <v>174</v>
      </c>
      <c r="AD40" s="36" t="s">
        <v>175</v>
      </c>
      <c r="AE40" s="37">
        <f t="shared" ref="AE40" si="14">0.02*-AE39</f>
        <v>-465000</v>
      </c>
    </row>
    <row r="41" spans="1:31" x14ac:dyDescent="0.35">
      <c r="A41" s="31"/>
      <c r="B41" s="38"/>
      <c r="C41" s="33" t="s">
        <v>102</v>
      </c>
      <c r="D41" s="34"/>
      <c r="E41" s="35" t="s">
        <v>117</v>
      </c>
      <c r="F41" s="36" t="s">
        <v>118</v>
      </c>
      <c r="G41" s="37">
        <f t="shared" ref="G41" si="15">0.02*-G40</f>
        <v>-775000</v>
      </c>
      <c r="I41" s="31"/>
      <c r="J41" s="32"/>
      <c r="K41" s="45"/>
      <c r="L41" s="42"/>
      <c r="M41" s="35"/>
      <c r="N41" s="36"/>
      <c r="O41" s="37"/>
      <c r="Q41" s="31"/>
      <c r="R41" s="32"/>
      <c r="S41" s="46"/>
      <c r="T41" s="47"/>
      <c r="U41" s="47"/>
      <c r="V41" s="48"/>
      <c r="W41" s="49"/>
      <c r="Y41" s="31"/>
      <c r="Z41" s="32"/>
      <c r="AA41" s="39" t="s">
        <v>176</v>
      </c>
      <c r="AB41" s="42"/>
      <c r="AC41" s="43"/>
      <c r="AD41" s="44"/>
      <c r="AE41" s="41">
        <f>15150*-282</f>
        <v>-4272300</v>
      </c>
    </row>
    <row r="42" spans="1:31" ht="15" thickBot="1" x14ac:dyDescent="0.4">
      <c r="A42" s="31"/>
      <c r="B42" s="32"/>
      <c r="C42" s="39" t="s">
        <v>119</v>
      </c>
      <c r="D42" s="42"/>
      <c r="E42" s="43"/>
      <c r="F42" s="44"/>
      <c r="G42" s="41">
        <f>15050*-525</f>
        <v>-7901250</v>
      </c>
      <c r="I42" s="31"/>
      <c r="J42" s="32"/>
      <c r="K42" s="46"/>
      <c r="L42" s="47"/>
      <c r="M42" s="47"/>
      <c r="N42" s="48"/>
      <c r="O42" s="49"/>
      <c r="Q42" s="50"/>
      <c r="R42" s="51"/>
      <c r="S42" s="52"/>
      <c r="T42" s="53"/>
      <c r="U42" s="53"/>
      <c r="V42" s="54" t="s">
        <v>129</v>
      </c>
      <c r="W42" s="55">
        <f>SUM(W32:W41)</f>
        <v>131663000</v>
      </c>
      <c r="Y42" s="31">
        <v>4</v>
      </c>
      <c r="Z42" s="32"/>
      <c r="AA42" s="33"/>
      <c r="AB42" s="34"/>
      <c r="AC42" s="35"/>
      <c r="AD42" s="36"/>
      <c r="AE42" s="37"/>
    </row>
    <row r="43" spans="1:31" ht="15" thickBot="1" x14ac:dyDescent="0.4">
      <c r="A43" s="31">
        <v>5</v>
      </c>
      <c r="B43" s="32" t="s">
        <v>120</v>
      </c>
      <c r="C43" s="33" t="s">
        <v>121</v>
      </c>
      <c r="D43" s="34"/>
      <c r="E43" s="35"/>
      <c r="F43" s="36"/>
      <c r="G43" s="37">
        <v>7750000</v>
      </c>
      <c r="I43" s="50"/>
      <c r="J43" s="51"/>
      <c r="K43" s="52"/>
      <c r="L43" s="53"/>
      <c r="M43" s="53"/>
      <c r="N43" s="54" t="s">
        <v>129</v>
      </c>
      <c r="O43" s="55">
        <f>SUM(O32:O42)</f>
        <v>100091000</v>
      </c>
      <c r="Q43" s="24"/>
      <c r="R43" s="24"/>
      <c r="S43" s="24"/>
      <c r="T43" s="24"/>
      <c r="U43" s="24"/>
      <c r="Y43" s="31"/>
      <c r="Z43" s="32"/>
      <c r="AA43" s="45"/>
      <c r="AB43" s="42"/>
      <c r="AC43" s="35"/>
      <c r="AD43" s="36"/>
      <c r="AE43" s="37"/>
    </row>
    <row r="44" spans="1:31" x14ac:dyDescent="0.35">
      <c r="A44" s="31"/>
      <c r="B44" s="38"/>
      <c r="C44" s="33" t="s">
        <v>102</v>
      </c>
      <c r="D44" s="34"/>
      <c r="E44" s="35" t="s">
        <v>122</v>
      </c>
      <c r="F44" s="36" t="s">
        <v>123</v>
      </c>
      <c r="G44" s="37">
        <f t="shared" ref="G44" si="16">0.02*-G43</f>
        <v>-155000</v>
      </c>
      <c r="I44" s="24"/>
      <c r="J44" s="24"/>
      <c r="K44" s="24"/>
      <c r="L44" s="24"/>
      <c r="Q44" s="24" t="s">
        <v>130</v>
      </c>
      <c r="R44" s="24"/>
      <c r="S44" s="24"/>
      <c r="T44" s="24"/>
      <c r="U44" s="56"/>
      <c r="Y44" s="31"/>
      <c r="Z44" s="32"/>
      <c r="AA44" s="46"/>
      <c r="AB44" s="47"/>
      <c r="AC44" s="47"/>
      <c r="AD44" s="48"/>
      <c r="AE44" s="49"/>
    </row>
    <row r="45" spans="1:31" ht="15" thickBot="1" x14ac:dyDescent="0.4">
      <c r="A45" s="31"/>
      <c r="B45" s="32"/>
      <c r="C45" s="39" t="s">
        <v>124</v>
      </c>
      <c r="D45" s="42"/>
      <c r="E45" s="43"/>
      <c r="F45" s="44"/>
      <c r="G45" s="41">
        <f>15050*-69</f>
        <v>-1038450</v>
      </c>
      <c r="I45" s="24" t="s">
        <v>130</v>
      </c>
      <c r="J45" s="24"/>
      <c r="K45" s="24"/>
      <c r="L45" s="24"/>
      <c r="Q45" s="24" t="s">
        <v>131</v>
      </c>
      <c r="R45" s="24"/>
      <c r="S45" s="24"/>
      <c r="T45" s="24"/>
      <c r="U45" s="56"/>
      <c r="Y45" s="50"/>
      <c r="Z45" s="51"/>
      <c r="AA45" s="52"/>
      <c r="AB45" s="53"/>
      <c r="AC45" s="53"/>
      <c r="AD45" s="54" t="s">
        <v>129</v>
      </c>
      <c r="AE45" s="55">
        <f>SUM(AE32:AE44)</f>
        <v>95409500</v>
      </c>
    </row>
    <row r="46" spans="1:31" x14ac:dyDescent="0.35">
      <c r="A46" s="31">
        <v>6</v>
      </c>
      <c r="B46" s="32" t="s">
        <v>125</v>
      </c>
      <c r="C46" s="33" t="s">
        <v>126</v>
      </c>
      <c r="D46" s="42"/>
      <c r="E46" s="43"/>
      <c r="F46" s="44"/>
      <c r="G46" s="37">
        <v>15500000</v>
      </c>
      <c r="I46" s="24" t="s">
        <v>131</v>
      </c>
      <c r="J46" s="24"/>
      <c r="K46" s="24"/>
      <c r="L46" s="24"/>
      <c r="Q46" s="63" t="s">
        <v>265</v>
      </c>
      <c r="R46" s="24"/>
      <c r="S46" s="24"/>
      <c r="T46" s="24"/>
      <c r="U46" s="56"/>
      <c r="Y46" s="24"/>
      <c r="Z46" s="24"/>
      <c r="AA46" s="24"/>
      <c r="AB46" s="24"/>
      <c r="AC46" s="24"/>
    </row>
    <row r="47" spans="1:31" x14ac:dyDescent="0.35">
      <c r="A47" s="31"/>
      <c r="B47" s="32"/>
      <c r="C47" s="45" t="s">
        <v>102</v>
      </c>
      <c r="D47" s="42"/>
      <c r="E47" s="35" t="s">
        <v>127</v>
      </c>
      <c r="F47" s="36" t="s">
        <v>128</v>
      </c>
      <c r="G47" s="37">
        <f t="shared" ref="G47" si="17">0.02*-G46</f>
        <v>-310000</v>
      </c>
      <c r="I47" s="63" t="s">
        <v>265</v>
      </c>
      <c r="J47" s="24"/>
      <c r="K47" s="24"/>
      <c r="L47" s="24"/>
      <c r="Q47" s="24" t="s">
        <v>266</v>
      </c>
      <c r="R47" s="62" t="s">
        <v>267</v>
      </c>
      <c r="S47" s="24"/>
      <c r="T47" s="24"/>
      <c r="U47" s="56"/>
      <c r="Y47" s="24" t="s">
        <v>130</v>
      </c>
      <c r="Z47" s="24"/>
      <c r="AA47" s="24"/>
      <c r="AB47" s="24"/>
      <c r="AC47" s="56"/>
    </row>
    <row r="48" spans="1:31" x14ac:dyDescent="0.35">
      <c r="A48" s="31"/>
      <c r="B48" s="32"/>
      <c r="C48" s="46"/>
      <c r="D48" s="47"/>
      <c r="E48" s="47"/>
      <c r="F48" s="48"/>
      <c r="G48" s="49"/>
      <c r="I48" s="24" t="s">
        <v>266</v>
      </c>
      <c r="J48" s="62" t="s">
        <v>267</v>
      </c>
      <c r="K48" s="24"/>
      <c r="L48" s="24"/>
      <c r="Q48" s="24" t="s">
        <v>134</v>
      </c>
      <c r="R48" s="24" t="s">
        <v>135</v>
      </c>
      <c r="S48" s="24"/>
      <c r="T48" s="24"/>
      <c r="U48" s="56"/>
      <c r="Y48" s="24" t="s">
        <v>131</v>
      </c>
      <c r="Z48" s="24"/>
      <c r="AA48" s="24"/>
      <c r="AB48" s="24"/>
      <c r="AC48" s="56"/>
    </row>
    <row r="49" spans="1:31" ht="15" thickBot="1" x14ac:dyDescent="0.4">
      <c r="A49" s="50"/>
      <c r="B49" s="51"/>
      <c r="C49" s="52"/>
      <c r="D49" s="53"/>
      <c r="E49" s="53"/>
      <c r="F49" s="54" t="s">
        <v>129</v>
      </c>
      <c r="G49" s="55">
        <f>SUM(G32:G48)</f>
        <v>201572700</v>
      </c>
      <c r="I49" s="24" t="s">
        <v>134</v>
      </c>
      <c r="J49" s="24" t="s">
        <v>135</v>
      </c>
      <c r="K49" s="24"/>
      <c r="L49" s="24"/>
      <c r="Q49" s="24" t="s">
        <v>160</v>
      </c>
      <c r="R49" s="24"/>
      <c r="S49" s="24"/>
      <c r="T49" s="24"/>
      <c r="U49" s="57"/>
      <c r="Y49" s="63" t="s">
        <v>265</v>
      </c>
      <c r="Z49" s="24"/>
      <c r="AA49" s="24"/>
      <c r="AB49" s="24"/>
      <c r="AC49" s="56"/>
    </row>
    <row r="50" spans="1:31" x14ac:dyDescent="0.35">
      <c r="A50" s="24"/>
      <c r="B50" s="24"/>
      <c r="C50" s="24"/>
      <c r="D50" s="24"/>
      <c r="I50" s="24" t="s">
        <v>341</v>
      </c>
      <c r="J50" s="24"/>
      <c r="K50" s="24"/>
      <c r="L50" s="24"/>
      <c r="Q50" s="24"/>
      <c r="R50" s="24"/>
      <c r="S50" s="24"/>
      <c r="T50" s="24"/>
      <c r="U50" s="57"/>
      <c r="Y50" s="24" t="s">
        <v>266</v>
      </c>
      <c r="Z50" s="62" t="s">
        <v>267</v>
      </c>
      <c r="AA50" s="24"/>
      <c r="AB50" s="24"/>
      <c r="AC50" s="56"/>
    </row>
    <row r="51" spans="1:31" x14ac:dyDescent="0.35">
      <c r="A51" s="24" t="s">
        <v>130</v>
      </c>
      <c r="B51" s="24"/>
      <c r="C51" s="24"/>
      <c r="D51" s="24"/>
      <c r="I51" s="24"/>
      <c r="J51" s="24"/>
      <c r="K51" s="24"/>
      <c r="L51" s="24"/>
      <c r="Y51" s="24" t="s">
        <v>134</v>
      </c>
      <c r="Z51" s="24" t="s">
        <v>135</v>
      </c>
      <c r="AA51" s="24"/>
      <c r="AB51" s="24"/>
      <c r="AC51" s="56"/>
    </row>
    <row r="52" spans="1:31" x14ac:dyDescent="0.35">
      <c r="A52" s="24" t="s">
        <v>131</v>
      </c>
      <c r="B52" s="24"/>
      <c r="C52" s="24"/>
      <c r="D52" s="24"/>
      <c r="Y52" s="24" t="s">
        <v>177</v>
      </c>
      <c r="Z52" s="24"/>
      <c r="AA52" s="24"/>
      <c r="AB52" s="24"/>
      <c r="AC52" s="57"/>
    </row>
    <row r="53" spans="1:31" x14ac:dyDescent="0.35">
      <c r="A53" s="63" t="s">
        <v>265</v>
      </c>
      <c r="B53" s="24"/>
      <c r="C53" s="24"/>
      <c r="D53" s="24"/>
      <c r="Y53" s="24"/>
      <c r="Z53" s="24"/>
      <c r="AA53" s="24"/>
      <c r="AB53" s="24"/>
      <c r="AC53" s="57"/>
    </row>
    <row r="54" spans="1:31" x14ac:dyDescent="0.35">
      <c r="A54" s="24" t="s">
        <v>266</v>
      </c>
      <c r="B54" s="62" t="s">
        <v>267</v>
      </c>
      <c r="C54" s="24"/>
      <c r="D54" s="24"/>
    </row>
    <row r="55" spans="1:31" x14ac:dyDescent="0.35">
      <c r="A55" s="24" t="s">
        <v>134</v>
      </c>
      <c r="B55" s="24" t="s">
        <v>135</v>
      </c>
      <c r="C55" s="24"/>
      <c r="D55" s="24"/>
    </row>
    <row r="56" spans="1:31" x14ac:dyDescent="0.35">
      <c r="A56" s="24" t="s">
        <v>136</v>
      </c>
      <c r="B56" s="24"/>
      <c r="C56" s="24"/>
      <c r="D56" s="24"/>
    </row>
    <row r="57" spans="1:31" x14ac:dyDescent="0.35">
      <c r="A57" s="24"/>
      <c r="B57" s="24"/>
      <c r="C57" s="24"/>
      <c r="D57" s="24"/>
    </row>
    <row r="58" spans="1:31" x14ac:dyDescent="0.35">
      <c r="A58" s="24"/>
      <c r="B58" s="24"/>
      <c r="C58" s="24"/>
      <c r="D58" s="24"/>
    </row>
    <row r="59" spans="1:31" s="58" customFormat="1" x14ac:dyDescent="0.35"/>
    <row r="60" spans="1:31" s="58" customFormat="1" ht="15" thickBot="1" x14ac:dyDescent="0.4"/>
    <row r="61" spans="1:31" ht="15" thickBot="1" x14ac:dyDescent="0.4">
      <c r="A61" s="25" t="s">
        <v>0</v>
      </c>
      <c r="B61" s="26" t="s">
        <v>97</v>
      </c>
      <c r="C61" s="27"/>
      <c r="D61" s="28" t="s">
        <v>98</v>
      </c>
      <c r="E61" s="28"/>
      <c r="F61" s="29"/>
      <c r="G61" s="30" t="s">
        <v>99</v>
      </c>
      <c r="I61" s="25" t="s">
        <v>0</v>
      </c>
      <c r="J61" s="26" t="s">
        <v>97</v>
      </c>
      <c r="K61" s="27"/>
      <c r="L61" s="28" t="s">
        <v>98</v>
      </c>
      <c r="M61" s="28"/>
      <c r="N61" s="29"/>
      <c r="O61" s="30" t="s">
        <v>99</v>
      </c>
      <c r="Q61" s="25" t="s">
        <v>0</v>
      </c>
      <c r="R61" s="26" t="s">
        <v>97</v>
      </c>
      <c r="S61" s="27"/>
      <c r="T61" s="28" t="s">
        <v>98</v>
      </c>
      <c r="U61" s="28"/>
      <c r="V61" s="29"/>
      <c r="W61" s="30" t="s">
        <v>99</v>
      </c>
      <c r="Y61" s="25" t="s">
        <v>0</v>
      </c>
      <c r="Z61" s="26" t="s">
        <v>97</v>
      </c>
      <c r="AA61" s="27"/>
      <c r="AB61" s="28" t="s">
        <v>98</v>
      </c>
      <c r="AC61" s="28"/>
      <c r="AD61" s="29"/>
      <c r="AE61" s="30" t="s">
        <v>99</v>
      </c>
    </row>
    <row r="62" spans="1:31" x14ac:dyDescent="0.35">
      <c r="A62" s="31">
        <v>1</v>
      </c>
      <c r="B62" s="32" t="s">
        <v>172</v>
      </c>
      <c r="C62" s="33" t="s">
        <v>178</v>
      </c>
      <c r="D62" s="34"/>
      <c r="E62" s="35"/>
      <c r="F62" s="36"/>
      <c r="G62" s="37">
        <v>100750000</v>
      </c>
      <c r="I62" s="31">
        <v>1</v>
      </c>
      <c r="J62" s="32" t="s">
        <v>182</v>
      </c>
      <c r="K62" s="33" t="s">
        <v>183</v>
      </c>
      <c r="L62" s="34"/>
      <c r="M62" s="35"/>
      <c r="N62" s="36"/>
      <c r="O62" s="37">
        <v>15500000</v>
      </c>
      <c r="Q62" s="31">
        <v>1</v>
      </c>
      <c r="R62" s="32" t="s">
        <v>198</v>
      </c>
      <c r="S62" s="33" t="s">
        <v>199</v>
      </c>
      <c r="T62" s="34"/>
      <c r="U62" s="35"/>
      <c r="V62" s="36"/>
      <c r="W62" s="37">
        <v>15500000</v>
      </c>
      <c r="Y62" s="31">
        <v>1</v>
      </c>
      <c r="Z62" s="32" t="s">
        <v>211</v>
      </c>
      <c r="AA62" s="33" t="s">
        <v>212</v>
      </c>
      <c r="AB62" s="34"/>
      <c r="AC62" s="35"/>
      <c r="AD62" s="36"/>
      <c r="AE62" s="37">
        <v>12000000</v>
      </c>
    </row>
    <row r="63" spans="1:31" x14ac:dyDescent="0.35">
      <c r="A63" s="31"/>
      <c r="B63" s="38"/>
      <c r="C63" s="33" t="s">
        <v>102</v>
      </c>
      <c r="D63" s="34"/>
      <c r="E63" s="35" t="s">
        <v>179</v>
      </c>
      <c r="F63" s="36" t="s">
        <v>180</v>
      </c>
      <c r="G63" s="37">
        <f t="shared" ref="G63" si="18">0.02*-G62</f>
        <v>-2015000</v>
      </c>
      <c r="I63" s="31"/>
      <c r="J63" s="38"/>
      <c r="K63" s="33" t="s">
        <v>102</v>
      </c>
      <c r="L63" s="34"/>
      <c r="M63" s="35" t="s">
        <v>184</v>
      </c>
      <c r="N63" s="36" t="s">
        <v>185</v>
      </c>
      <c r="O63" s="37">
        <f t="shared" ref="O63" si="19">0.02*-O62</f>
        <v>-310000</v>
      </c>
      <c r="Q63" s="31"/>
      <c r="R63" s="38"/>
      <c r="S63" s="33" t="s">
        <v>102</v>
      </c>
      <c r="T63" s="34"/>
      <c r="U63" s="35" t="s">
        <v>200</v>
      </c>
      <c r="V63" s="36" t="s">
        <v>201</v>
      </c>
      <c r="W63" s="37">
        <f t="shared" ref="W63" si="20">0.02*-W62</f>
        <v>-310000</v>
      </c>
      <c r="Y63" s="31"/>
      <c r="Z63" s="38"/>
      <c r="AA63" s="33" t="s">
        <v>102</v>
      </c>
      <c r="AB63" s="34"/>
      <c r="AC63" s="35" t="s">
        <v>213</v>
      </c>
      <c r="AD63" s="36" t="s">
        <v>214</v>
      </c>
      <c r="AE63" s="37">
        <f t="shared" ref="AE63" si="21">0.02*-AE62</f>
        <v>-240000</v>
      </c>
    </row>
    <row r="64" spans="1:31" x14ac:dyDescent="0.35">
      <c r="A64" s="31"/>
      <c r="B64" s="32"/>
      <c r="C64" s="39" t="s">
        <v>181</v>
      </c>
      <c r="D64" s="42"/>
      <c r="E64" s="43"/>
      <c r="F64" s="44"/>
      <c r="G64" s="41">
        <f>15150*-764</f>
        <v>-11574600</v>
      </c>
      <c r="I64" s="31"/>
      <c r="J64" s="32"/>
      <c r="K64" s="39" t="s">
        <v>186</v>
      </c>
      <c r="L64" s="42"/>
      <c r="M64" s="43"/>
      <c r="N64" s="44"/>
      <c r="O64" s="41">
        <f>29550*-121</f>
        <v>-3575550</v>
      </c>
      <c r="Q64" s="31"/>
      <c r="R64" s="32"/>
      <c r="S64" s="39" t="s">
        <v>202</v>
      </c>
      <c r="T64" s="42"/>
      <c r="U64" s="43"/>
      <c r="V64" s="44"/>
      <c r="W64" s="41">
        <f>29550*-94</f>
        <v>-2777700</v>
      </c>
      <c r="Y64" s="31">
        <v>2</v>
      </c>
      <c r="Z64" s="32" t="s">
        <v>215</v>
      </c>
      <c r="AA64" s="39" t="s">
        <v>216</v>
      </c>
      <c r="AB64" s="42"/>
      <c r="AC64" s="43"/>
      <c r="AD64" s="44"/>
      <c r="AE64" s="41">
        <v>20000000</v>
      </c>
    </row>
    <row r="65" spans="1:31" x14ac:dyDescent="0.35">
      <c r="A65" s="31">
        <v>4</v>
      </c>
      <c r="B65" s="32"/>
      <c r="C65" s="39"/>
      <c r="D65" s="42"/>
      <c r="E65" s="43"/>
      <c r="F65" s="44"/>
      <c r="G65" s="41"/>
      <c r="I65" s="31">
        <v>2</v>
      </c>
      <c r="J65" s="32" t="s">
        <v>187</v>
      </c>
      <c r="K65" s="39" t="s">
        <v>183</v>
      </c>
      <c r="L65" s="42"/>
      <c r="M65" s="43"/>
      <c r="N65" s="44"/>
      <c r="O65" s="41">
        <v>7750000</v>
      </c>
      <c r="Q65" s="31">
        <v>2</v>
      </c>
      <c r="R65" s="32" t="s">
        <v>203</v>
      </c>
      <c r="S65" s="39" t="s">
        <v>199</v>
      </c>
      <c r="T65" s="42"/>
      <c r="U65" s="43"/>
      <c r="V65" s="44"/>
      <c r="W65" s="41">
        <v>15500000</v>
      </c>
      <c r="Y65" s="31"/>
      <c r="Z65" s="32"/>
      <c r="AA65" s="33" t="s">
        <v>102</v>
      </c>
      <c r="AB65" s="42"/>
      <c r="AC65" s="43" t="s">
        <v>217</v>
      </c>
      <c r="AD65" s="44" t="s">
        <v>218</v>
      </c>
      <c r="AE65" s="37">
        <f t="shared" ref="AE65" si="22">0.02*-AE64</f>
        <v>-400000</v>
      </c>
    </row>
    <row r="66" spans="1:31" x14ac:dyDescent="0.35">
      <c r="A66" s="31"/>
      <c r="B66" s="32"/>
      <c r="C66" s="33"/>
      <c r="D66" s="34"/>
      <c r="E66" s="35"/>
      <c r="F66" s="36"/>
      <c r="G66" s="37"/>
      <c r="I66" s="31"/>
      <c r="J66" s="32"/>
      <c r="K66" s="33" t="s">
        <v>102</v>
      </c>
      <c r="L66" s="42"/>
      <c r="M66" s="43" t="s">
        <v>188</v>
      </c>
      <c r="N66" s="44" t="s">
        <v>185</v>
      </c>
      <c r="O66" s="37">
        <f t="shared" ref="O66" si="23">0.02*-O65</f>
        <v>-155000</v>
      </c>
      <c r="Q66" s="31"/>
      <c r="R66" s="32"/>
      <c r="S66" s="33" t="s">
        <v>102</v>
      </c>
      <c r="T66" s="42"/>
      <c r="U66" s="43" t="s">
        <v>204</v>
      </c>
      <c r="V66" s="44" t="s">
        <v>201</v>
      </c>
      <c r="W66" s="37">
        <f t="shared" ref="W66" si="24">0.02*-W65</f>
        <v>-310000</v>
      </c>
      <c r="Y66" s="31">
        <v>3</v>
      </c>
      <c r="Z66" s="32" t="s">
        <v>219</v>
      </c>
      <c r="AA66" s="39" t="s">
        <v>220</v>
      </c>
      <c r="AB66" s="42"/>
      <c r="AC66" s="43"/>
      <c r="AD66" s="44"/>
      <c r="AE66" s="41">
        <v>6000000</v>
      </c>
    </row>
    <row r="67" spans="1:31" x14ac:dyDescent="0.35">
      <c r="A67" s="31"/>
      <c r="B67" s="38"/>
      <c r="C67" s="33"/>
      <c r="D67" s="34"/>
      <c r="E67" s="35"/>
      <c r="F67" s="36"/>
      <c r="G67" s="37"/>
      <c r="I67" s="31"/>
      <c r="J67" s="32"/>
      <c r="K67" s="45" t="s">
        <v>189</v>
      </c>
      <c r="L67" s="42"/>
      <c r="M67" s="35"/>
      <c r="N67" s="36"/>
      <c r="O67" s="37">
        <f>29550*-74</f>
        <v>-2186700</v>
      </c>
      <c r="Q67" s="31"/>
      <c r="R67" s="32"/>
      <c r="S67" s="45" t="s">
        <v>205</v>
      </c>
      <c r="T67" s="42"/>
      <c r="U67" s="35"/>
      <c r="V67" s="36"/>
      <c r="W67" s="37">
        <f>29550*-176</f>
        <v>-5200800</v>
      </c>
      <c r="Y67" s="31"/>
      <c r="Z67" s="32"/>
      <c r="AA67" s="33" t="s">
        <v>102</v>
      </c>
      <c r="AB67" s="42"/>
      <c r="AC67" s="43" t="s">
        <v>221</v>
      </c>
      <c r="AD67" s="44" t="s">
        <v>218</v>
      </c>
      <c r="AE67" s="37">
        <f t="shared" ref="AE67" si="25">0.02*-AE66</f>
        <v>-120000</v>
      </c>
    </row>
    <row r="68" spans="1:31" x14ac:dyDescent="0.35">
      <c r="A68" s="31"/>
      <c r="B68" s="32"/>
      <c r="C68" s="45"/>
      <c r="D68" s="42"/>
      <c r="E68" s="35"/>
      <c r="F68" s="36"/>
      <c r="G68" s="37"/>
      <c r="I68" s="31">
        <v>3</v>
      </c>
      <c r="J68" s="32" t="s">
        <v>190</v>
      </c>
      <c r="K68" s="39" t="s">
        <v>183</v>
      </c>
      <c r="L68" s="42"/>
      <c r="M68" s="43"/>
      <c r="N68" s="44"/>
      <c r="O68" s="41">
        <v>7750000</v>
      </c>
      <c r="Q68" s="31">
        <v>3</v>
      </c>
      <c r="R68" s="32" t="s">
        <v>206</v>
      </c>
      <c r="S68" s="39" t="s">
        <v>199</v>
      </c>
      <c r="T68" s="42"/>
      <c r="U68" s="43"/>
      <c r="V68" s="44"/>
      <c r="W68" s="41">
        <v>15500000</v>
      </c>
      <c r="Y68" s="31"/>
      <c r="Z68" s="32"/>
      <c r="AA68" s="33"/>
      <c r="AB68" s="42"/>
      <c r="AC68" s="43"/>
      <c r="AD68" s="44"/>
      <c r="AE68" s="37"/>
    </row>
    <row r="69" spans="1:31" x14ac:dyDescent="0.35">
      <c r="A69" s="31"/>
      <c r="B69" s="32"/>
      <c r="C69" s="46"/>
      <c r="D69" s="47"/>
      <c r="E69" s="47"/>
      <c r="F69" s="48"/>
      <c r="G69" s="49"/>
      <c r="I69" s="31"/>
      <c r="J69" s="32"/>
      <c r="K69" s="33" t="s">
        <v>102</v>
      </c>
      <c r="L69" s="42"/>
      <c r="M69" s="43" t="s">
        <v>191</v>
      </c>
      <c r="N69" s="44" t="s">
        <v>185</v>
      </c>
      <c r="O69" s="37">
        <f t="shared" ref="O69" si="26">0.02*-O68</f>
        <v>-155000</v>
      </c>
      <c r="Q69" s="31"/>
      <c r="R69" s="32"/>
      <c r="S69" s="33" t="s">
        <v>102</v>
      </c>
      <c r="T69" s="42"/>
      <c r="U69" s="43" t="s">
        <v>207</v>
      </c>
      <c r="V69" s="44" t="s">
        <v>201</v>
      </c>
      <c r="W69" s="37">
        <f t="shared" ref="W69" si="27">0.02*-W68</f>
        <v>-310000</v>
      </c>
      <c r="Y69" s="31"/>
      <c r="Z69" s="32"/>
      <c r="AA69" s="45"/>
      <c r="AB69" s="42"/>
      <c r="AC69" s="35"/>
      <c r="AD69" s="36"/>
      <c r="AE69" s="37"/>
    </row>
    <row r="70" spans="1:31" ht="15" thickBot="1" x14ac:dyDescent="0.4">
      <c r="A70" s="50"/>
      <c r="B70" s="51"/>
      <c r="C70" s="52"/>
      <c r="D70" s="53"/>
      <c r="E70" s="53"/>
      <c r="F70" s="54" t="s">
        <v>129</v>
      </c>
      <c r="G70" s="55">
        <f>SUM(G62:G69)</f>
        <v>87160400</v>
      </c>
      <c r="I70" s="31">
        <v>4</v>
      </c>
      <c r="J70" s="32" t="s">
        <v>192</v>
      </c>
      <c r="K70" s="39" t="s">
        <v>183</v>
      </c>
      <c r="L70" s="42"/>
      <c r="M70" s="43"/>
      <c r="N70" s="44"/>
      <c r="O70" s="41">
        <v>7750000</v>
      </c>
      <c r="Q70" s="31">
        <v>4</v>
      </c>
      <c r="R70" s="32" t="s">
        <v>208</v>
      </c>
      <c r="S70" s="39" t="s">
        <v>199</v>
      </c>
      <c r="T70" s="42"/>
      <c r="U70" s="43"/>
      <c r="V70" s="44"/>
      <c r="W70" s="41">
        <v>7750000</v>
      </c>
      <c r="Y70" s="31"/>
      <c r="Z70" s="32"/>
      <c r="AA70" s="46"/>
      <c r="AB70" s="47"/>
      <c r="AC70" s="47"/>
      <c r="AD70" s="48"/>
      <c r="AE70" s="49"/>
    </row>
    <row r="71" spans="1:31" ht="15" thickBot="1" x14ac:dyDescent="0.4">
      <c r="A71" s="24"/>
      <c r="B71" s="24"/>
      <c r="C71" s="24"/>
      <c r="D71" s="24"/>
      <c r="E71" s="24"/>
      <c r="I71" s="31"/>
      <c r="J71" s="32"/>
      <c r="K71" s="33" t="s">
        <v>102</v>
      </c>
      <c r="L71" s="34"/>
      <c r="M71" s="35" t="s">
        <v>193</v>
      </c>
      <c r="N71" s="36" t="s">
        <v>185</v>
      </c>
      <c r="O71" s="37">
        <f t="shared" ref="O71" si="28">0.02*-O70</f>
        <v>-155000</v>
      </c>
      <c r="Q71" s="31"/>
      <c r="R71" s="32"/>
      <c r="S71" s="33" t="s">
        <v>102</v>
      </c>
      <c r="T71" s="34"/>
      <c r="U71" s="35" t="s">
        <v>209</v>
      </c>
      <c r="V71" s="44" t="s">
        <v>201</v>
      </c>
      <c r="W71" s="37">
        <f t="shared" ref="W71" si="29">0.02*-W70</f>
        <v>-155000</v>
      </c>
      <c r="Y71" s="50"/>
      <c r="Z71" s="51"/>
      <c r="AA71" s="52"/>
      <c r="AB71" s="53"/>
      <c r="AC71" s="53"/>
      <c r="AD71" s="54" t="s">
        <v>129</v>
      </c>
      <c r="AE71" s="55">
        <f>SUM(AE62:AE70)</f>
        <v>37240000</v>
      </c>
    </row>
    <row r="72" spans="1:31" x14ac:dyDescent="0.35">
      <c r="A72" s="24" t="s">
        <v>130</v>
      </c>
      <c r="B72" s="24"/>
      <c r="C72" s="24"/>
      <c r="D72" s="24"/>
      <c r="E72" s="56"/>
      <c r="I72" s="31"/>
      <c r="J72" s="38"/>
      <c r="K72" s="33" t="s">
        <v>194</v>
      </c>
      <c r="L72" s="34"/>
      <c r="M72" s="35"/>
      <c r="N72" s="36"/>
      <c r="O72" s="37">
        <f>29550*-39</f>
        <v>-1152450</v>
      </c>
      <c r="Q72" s="31"/>
      <c r="R72" s="32"/>
      <c r="S72" s="33"/>
      <c r="T72" s="42"/>
      <c r="U72" s="43"/>
      <c r="V72" s="44"/>
      <c r="W72" s="37"/>
      <c r="Y72" s="24"/>
      <c r="Z72" s="24"/>
      <c r="AA72" s="24"/>
      <c r="AB72" s="24"/>
      <c r="AC72" s="24"/>
    </row>
    <row r="73" spans="1:31" x14ac:dyDescent="0.35">
      <c r="A73" s="24" t="s">
        <v>131</v>
      </c>
      <c r="B73" s="24"/>
      <c r="C73" s="24"/>
      <c r="D73" s="24"/>
      <c r="E73" s="56"/>
      <c r="I73" s="31">
        <v>5</v>
      </c>
      <c r="J73" s="32" t="s">
        <v>195</v>
      </c>
      <c r="K73" s="39" t="s">
        <v>183</v>
      </c>
      <c r="L73" s="42"/>
      <c r="M73" s="43"/>
      <c r="N73" s="44"/>
      <c r="O73" s="41">
        <v>7750000</v>
      </c>
      <c r="Q73" s="31"/>
      <c r="R73" s="32"/>
      <c r="S73" s="45"/>
      <c r="T73" s="42"/>
      <c r="U73" s="35"/>
      <c r="V73" s="36"/>
      <c r="W73" s="37"/>
      <c r="Y73" s="24" t="s">
        <v>130</v>
      </c>
      <c r="Z73" s="24"/>
      <c r="AA73" s="24"/>
      <c r="AB73" s="24"/>
      <c r="AC73" s="56"/>
    </row>
    <row r="74" spans="1:31" x14ac:dyDescent="0.35">
      <c r="A74" s="63" t="s">
        <v>265</v>
      </c>
      <c r="B74" s="24"/>
      <c r="C74" s="24"/>
      <c r="D74" s="24"/>
      <c r="E74" s="56"/>
      <c r="I74" s="31"/>
      <c r="J74" s="32"/>
      <c r="K74" s="33" t="s">
        <v>102</v>
      </c>
      <c r="L74" s="34"/>
      <c r="M74" s="35" t="s">
        <v>196</v>
      </c>
      <c r="N74" s="36" t="s">
        <v>185</v>
      </c>
      <c r="O74" s="37">
        <f t="shared" ref="O74" si="30">0.02*-O73</f>
        <v>-155000</v>
      </c>
      <c r="Q74" s="31"/>
      <c r="R74" s="32"/>
      <c r="S74" s="46"/>
      <c r="T74" s="47"/>
      <c r="U74" s="47"/>
      <c r="V74" s="48"/>
      <c r="W74" s="49"/>
      <c r="Y74" s="24" t="s">
        <v>131</v>
      </c>
      <c r="Z74" s="24"/>
      <c r="AA74" s="24"/>
      <c r="AB74" s="24"/>
      <c r="AC74" s="56"/>
    </row>
    <row r="75" spans="1:31" ht="15" thickBot="1" x14ac:dyDescent="0.4">
      <c r="A75" s="24" t="s">
        <v>266</v>
      </c>
      <c r="B75" s="62" t="s">
        <v>267</v>
      </c>
      <c r="C75" s="24"/>
      <c r="D75" s="24"/>
      <c r="E75" s="56"/>
      <c r="I75" s="31"/>
      <c r="J75" s="32"/>
      <c r="K75" s="33"/>
      <c r="L75" s="42"/>
      <c r="M75" s="43"/>
      <c r="N75" s="44"/>
      <c r="O75" s="37"/>
      <c r="Q75" s="50"/>
      <c r="R75" s="51"/>
      <c r="S75" s="52"/>
      <c r="T75" s="53"/>
      <c r="U75" s="53"/>
      <c r="V75" s="54" t="s">
        <v>129</v>
      </c>
      <c r="W75" s="55">
        <f>SUM(W62:W74)</f>
        <v>45186500</v>
      </c>
      <c r="Y75" s="63" t="s">
        <v>265</v>
      </c>
      <c r="Z75" s="24"/>
      <c r="AA75" s="24"/>
      <c r="AB75" s="24"/>
      <c r="AC75" s="56"/>
    </row>
    <row r="76" spans="1:31" x14ac:dyDescent="0.35">
      <c r="A76" s="24" t="s">
        <v>134</v>
      </c>
      <c r="B76" s="24" t="s">
        <v>135</v>
      </c>
      <c r="C76" s="24"/>
      <c r="D76" s="24"/>
      <c r="E76" s="56"/>
      <c r="I76" s="31"/>
      <c r="J76" s="32"/>
      <c r="K76" s="45"/>
      <c r="L76" s="42"/>
      <c r="M76" s="35"/>
      <c r="N76" s="36"/>
      <c r="O76" s="37"/>
      <c r="Q76" s="24"/>
      <c r="R76" s="24"/>
      <c r="S76" s="24"/>
      <c r="T76" s="24"/>
      <c r="U76" s="24"/>
      <c r="Y76" s="24" t="s">
        <v>266</v>
      </c>
      <c r="Z76" s="62" t="s">
        <v>267</v>
      </c>
      <c r="AA76" s="24"/>
      <c r="AB76" s="24"/>
      <c r="AC76" s="56"/>
    </row>
    <row r="77" spans="1:31" x14ac:dyDescent="0.35">
      <c r="A77" s="24" t="s">
        <v>340</v>
      </c>
      <c r="B77" s="24"/>
      <c r="C77" s="24"/>
      <c r="D77" s="24"/>
      <c r="E77" s="57"/>
      <c r="I77" s="31"/>
      <c r="J77" s="32"/>
      <c r="K77" s="46"/>
      <c r="L77" s="47"/>
      <c r="M77" s="47"/>
      <c r="N77" s="48"/>
      <c r="O77" s="49"/>
      <c r="Q77" s="24" t="s">
        <v>130</v>
      </c>
      <c r="R77" s="24"/>
      <c r="S77" s="24"/>
      <c r="T77" s="24"/>
      <c r="U77" s="56"/>
      <c r="Y77" s="24" t="s">
        <v>134</v>
      </c>
      <c r="Z77" s="24" t="s">
        <v>135</v>
      </c>
      <c r="AA77" s="24"/>
      <c r="AB77" s="24"/>
      <c r="AC77" s="56"/>
    </row>
    <row r="78" spans="1:31" ht="15" thickBot="1" x14ac:dyDescent="0.4">
      <c r="A78" s="24"/>
      <c r="B78" s="24"/>
      <c r="C78" s="24"/>
      <c r="D78" s="24"/>
      <c r="E78" s="57"/>
      <c r="I78" s="50"/>
      <c r="J78" s="51"/>
      <c r="K78" s="52"/>
      <c r="L78" s="53"/>
      <c r="M78" s="53"/>
      <c r="N78" s="54" t="s">
        <v>129</v>
      </c>
      <c r="O78" s="55">
        <f>SUM(O62:O77)</f>
        <v>38655300</v>
      </c>
      <c r="Q78" s="24" t="s">
        <v>131</v>
      </c>
      <c r="R78" s="24"/>
      <c r="S78" s="24"/>
      <c r="T78" s="24"/>
      <c r="U78" s="56"/>
      <c r="Y78" s="24" t="s">
        <v>241</v>
      </c>
      <c r="Z78" s="24"/>
      <c r="AA78" s="24"/>
      <c r="AB78" s="24"/>
      <c r="AC78" s="57"/>
    </row>
    <row r="79" spans="1:31" x14ac:dyDescent="0.35">
      <c r="I79" s="24"/>
      <c r="J79" s="24"/>
      <c r="K79" s="24"/>
      <c r="L79" s="24"/>
      <c r="M79" s="24"/>
      <c r="Q79" s="63" t="s">
        <v>265</v>
      </c>
      <c r="R79" s="24"/>
      <c r="S79" s="24"/>
      <c r="T79" s="24"/>
      <c r="U79" s="56"/>
      <c r="Y79" s="24"/>
      <c r="Z79" s="24"/>
      <c r="AA79" s="24"/>
      <c r="AB79" s="24"/>
      <c r="AC79" s="57"/>
    </row>
    <row r="80" spans="1:31" x14ac:dyDescent="0.35">
      <c r="I80" s="24" t="s">
        <v>130</v>
      </c>
      <c r="J80" s="24"/>
      <c r="K80" s="24"/>
      <c r="L80" s="24"/>
      <c r="M80" s="56"/>
      <c r="Q80" s="24" t="s">
        <v>266</v>
      </c>
      <c r="R80" s="62" t="s">
        <v>267</v>
      </c>
      <c r="S80" s="24"/>
      <c r="T80" s="24"/>
      <c r="U80" s="56"/>
    </row>
    <row r="81" spans="1:31" x14ac:dyDescent="0.35">
      <c r="I81" s="24" t="s">
        <v>131</v>
      </c>
      <c r="J81" s="24"/>
      <c r="K81" s="24"/>
      <c r="L81" s="24"/>
      <c r="M81" s="56"/>
      <c r="Q81" s="24" t="s">
        <v>134</v>
      </c>
      <c r="R81" s="24" t="s">
        <v>135</v>
      </c>
      <c r="S81" s="24"/>
      <c r="T81" s="24"/>
      <c r="U81" s="56"/>
    </row>
    <row r="82" spans="1:31" x14ac:dyDescent="0.35">
      <c r="I82" s="63" t="s">
        <v>132</v>
      </c>
      <c r="J82" s="24"/>
      <c r="K82" s="24"/>
      <c r="L82" s="24"/>
      <c r="M82" s="56"/>
      <c r="Q82" s="24" t="s">
        <v>210</v>
      </c>
      <c r="R82" s="24"/>
      <c r="S82" s="24"/>
      <c r="T82" s="24"/>
      <c r="U82" s="57"/>
    </row>
    <row r="83" spans="1:31" x14ac:dyDescent="0.35">
      <c r="I83" s="24" t="s">
        <v>133</v>
      </c>
      <c r="J83" s="24"/>
      <c r="K83" s="24"/>
      <c r="L83" s="24"/>
      <c r="M83" s="56"/>
      <c r="Q83" s="24"/>
      <c r="R83" s="24"/>
      <c r="S83" s="24"/>
      <c r="T83" s="24"/>
      <c r="U83" s="57"/>
    </row>
    <row r="84" spans="1:31" x14ac:dyDescent="0.35">
      <c r="I84" s="24" t="s">
        <v>134</v>
      </c>
      <c r="J84" s="24" t="s">
        <v>135</v>
      </c>
      <c r="K84" s="24"/>
      <c r="L84" s="24"/>
      <c r="M84" s="56"/>
    </row>
    <row r="85" spans="1:31" x14ac:dyDescent="0.35">
      <c r="I85" s="24" t="s">
        <v>197</v>
      </c>
      <c r="J85" s="24"/>
      <c r="K85" s="24"/>
      <c r="L85" s="24"/>
      <c r="M85" s="57"/>
    </row>
    <row r="86" spans="1:31" x14ac:dyDescent="0.35">
      <c r="I86" s="24"/>
      <c r="J86" s="24"/>
      <c r="K86" s="24"/>
      <c r="L86" s="24"/>
      <c r="M86" s="57"/>
    </row>
    <row r="87" spans="1:31" x14ac:dyDescent="0.35">
      <c r="I87" s="24"/>
      <c r="J87" s="24"/>
      <c r="K87" s="24"/>
      <c r="L87" s="24"/>
      <c r="M87" s="57"/>
    </row>
    <row r="88" spans="1:31" s="59" customFormat="1" x14ac:dyDescent="0.35"/>
    <row r="89" spans="1:31" s="59" customFormat="1" ht="15" thickBot="1" x14ac:dyDescent="0.4"/>
    <row r="90" spans="1:31" ht="15" thickBot="1" x14ac:dyDescent="0.4">
      <c r="A90" s="25" t="s">
        <v>0</v>
      </c>
      <c r="B90" s="26" t="s">
        <v>97</v>
      </c>
      <c r="C90" s="27"/>
      <c r="D90" s="28" t="s">
        <v>98</v>
      </c>
      <c r="E90" s="28"/>
      <c r="F90" s="29"/>
      <c r="G90" s="30" t="s">
        <v>99</v>
      </c>
      <c r="I90" s="25" t="s">
        <v>0</v>
      </c>
      <c r="J90" s="26" t="s">
        <v>97</v>
      </c>
      <c r="K90" s="27"/>
      <c r="L90" s="28" t="s">
        <v>98</v>
      </c>
      <c r="M90" s="28"/>
      <c r="N90" s="29"/>
      <c r="O90" s="30" t="s">
        <v>99</v>
      </c>
      <c r="Q90" s="25" t="s">
        <v>0</v>
      </c>
      <c r="R90" s="26" t="s">
        <v>97</v>
      </c>
      <c r="S90" s="27"/>
      <c r="T90" s="28" t="s">
        <v>98</v>
      </c>
      <c r="U90" s="28"/>
      <c r="V90" s="29"/>
      <c r="W90" s="30" t="s">
        <v>99</v>
      </c>
      <c r="Y90" s="25" t="s">
        <v>0</v>
      </c>
      <c r="Z90" s="26" t="s">
        <v>97</v>
      </c>
      <c r="AA90" s="27"/>
      <c r="AB90" s="28" t="s">
        <v>98</v>
      </c>
      <c r="AC90" s="28"/>
      <c r="AD90" s="29"/>
      <c r="AE90" s="30" t="s">
        <v>99</v>
      </c>
    </row>
    <row r="91" spans="1:31" x14ac:dyDescent="0.35">
      <c r="A91" s="31">
        <v>1</v>
      </c>
      <c r="B91" s="32" t="s">
        <v>222</v>
      </c>
      <c r="C91" s="33" t="s">
        <v>223</v>
      </c>
      <c r="D91" s="34"/>
      <c r="E91" s="35"/>
      <c r="F91" s="36"/>
      <c r="G91" s="37">
        <v>60000000</v>
      </c>
      <c r="I91" s="31">
        <v>1</v>
      </c>
      <c r="J91" s="32" t="s">
        <v>242</v>
      </c>
      <c r="K91" s="33" t="s">
        <v>243</v>
      </c>
      <c r="L91" s="34"/>
      <c r="M91" s="35"/>
      <c r="N91" s="36"/>
      <c r="O91" s="37">
        <v>40000000</v>
      </c>
      <c r="Q91" s="31">
        <v>1</v>
      </c>
      <c r="R91" s="32" t="s">
        <v>269</v>
      </c>
      <c r="S91" s="33" t="s">
        <v>247</v>
      </c>
      <c r="T91" s="34"/>
      <c r="U91" s="35"/>
      <c r="V91" s="36"/>
      <c r="W91" s="37">
        <v>6000000</v>
      </c>
      <c r="Y91" s="31">
        <v>1</v>
      </c>
      <c r="Z91" s="32" t="s">
        <v>273</v>
      </c>
      <c r="AA91" s="33" t="s">
        <v>243</v>
      </c>
      <c r="AB91" s="34"/>
      <c r="AC91" s="35"/>
      <c r="AD91" s="36"/>
      <c r="AE91" s="37">
        <v>70000000</v>
      </c>
    </row>
    <row r="92" spans="1:31" x14ac:dyDescent="0.35">
      <c r="A92" s="31"/>
      <c r="B92" s="38"/>
      <c r="C92" s="33" t="s">
        <v>102</v>
      </c>
      <c r="D92" s="34"/>
      <c r="E92" s="35" t="s">
        <v>224</v>
      </c>
      <c r="F92" s="36" t="s">
        <v>225</v>
      </c>
      <c r="G92" s="37">
        <f t="shared" ref="G92" si="31">0.02*-G91</f>
        <v>-1200000</v>
      </c>
      <c r="I92" s="31"/>
      <c r="J92" s="38"/>
      <c r="K92" s="33" t="s">
        <v>102</v>
      </c>
      <c r="L92" s="34"/>
      <c r="M92" s="35" t="s">
        <v>244</v>
      </c>
      <c r="N92" s="36" t="s">
        <v>245</v>
      </c>
      <c r="O92" s="37">
        <f t="shared" ref="O92" si="32">0.02*-O91</f>
        <v>-800000</v>
      </c>
      <c r="Q92" s="31"/>
      <c r="R92" s="38"/>
      <c r="S92" s="33" t="s">
        <v>102</v>
      </c>
      <c r="T92" s="34"/>
      <c r="U92" s="35" t="s">
        <v>270</v>
      </c>
      <c r="V92" s="36" t="s">
        <v>271</v>
      </c>
      <c r="W92" s="37">
        <f t="shared" ref="W92" si="33">0.02*-W91</f>
        <v>-120000</v>
      </c>
      <c r="Y92" s="31"/>
      <c r="Z92" s="38"/>
      <c r="AA92" s="33" t="s">
        <v>102</v>
      </c>
      <c r="AB92" s="34"/>
      <c r="AC92" s="35" t="s">
        <v>274</v>
      </c>
      <c r="AD92" s="36" t="s">
        <v>275</v>
      </c>
      <c r="AE92" s="37">
        <f t="shared" ref="AE92:AE103" si="34">0.02*-AE91</f>
        <v>-1400000</v>
      </c>
    </row>
    <row r="93" spans="1:31" x14ac:dyDescent="0.35">
      <c r="A93" s="31"/>
      <c r="B93" s="38"/>
      <c r="C93" s="33" t="s">
        <v>226</v>
      </c>
      <c r="D93" s="47"/>
      <c r="E93" s="43"/>
      <c r="F93" s="44"/>
      <c r="G93" s="37">
        <f>30000*-161</f>
        <v>-4830000</v>
      </c>
      <c r="I93" s="31">
        <v>2</v>
      </c>
      <c r="J93" s="32" t="s">
        <v>246</v>
      </c>
      <c r="K93" s="39" t="s">
        <v>247</v>
      </c>
      <c r="L93" s="42"/>
      <c r="M93" s="43"/>
      <c r="N93" s="44"/>
      <c r="O93" s="41">
        <v>6000000</v>
      </c>
      <c r="Q93" s="31"/>
      <c r="R93" s="32"/>
      <c r="S93" s="39"/>
      <c r="T93" s="42"/>
      <c r="U93" s="43"/>
      <c r="V93" s="44"/>
      <c r="W93" s="41"/>
      <c r="Y93" s="31"/>
      <c r="Z93" s="38"/>
      <c r="AA93" s="33" t="s">
        <v>276</v>
      </c>
      <c r="AB93" s="47"/>
      <c r="AC93" s="43"/>
      <c r="AD93" s="44"/>
      <c r="AE93" s="37">
        <f>25000*-68</f>
        <v>-1700000</v>
      </c>
    </row>
    <row r="94" spans="1:31" x14ac:dyDescent="0.35">
      <c r="A94" s="31">
        <v>2</v>
      </c>
      <c r="B94" s="32" t="s">
        <v>227</v>
      </c>
      <c r="C94" s="39" t="s">
        <v>223</v>
      </c>
      <c r="D94" s="42"/>
      <c r="E94" s="43"/>
      <c r="F94" s="44"/>
      <c r="G94" s="41">
        <v>40000000</v>
      </c>
      <c r="I94" s="31"/>
      <c r="J94" s="32"/>
      <c r="K94" s="33" t="s">
        <v>102</v>
      </c>
      <c r="L94" s="42"/>
      <c r="M94" s="43" t="s">
        <v>248</v>
      </c>
      <c r="N94" s="60" t="s">
        <v>249</v>
      </c>
      <c r="O94" s="37">
        <f t="shared" ref="O94" si="35">0.02*-O93</f>
        <v>-120000</v>
      </c>
      <c r="Q94" s="31"/>
      <c r="R94" s="32"/>
      <c r="S94" s="61"/>
      <c r="T94" s="42"/>
      <c r="U94" s="43"/>
      <c r="V94" s="60"/>
      <c r="W94" s="37"/>
      <c r="Y94" s="31">
        <v>2</v>
      </c>
      <c r="Z94" s="32" t="s">
        <v>277</v>
      </c>
      <c r="AA94" s="33" t="s">
        <v>254</v>
      </c>
      <c r="AB94" s="47"/>
      <c r="AC94" s="43"/>
      <c r="AD94" s="44"/>
      <c r="AE94" s="37">
        <v>63000000</v>
      </c>
    </row>
    <row r="95" spans="1:31" x14ac:dyDescent="0.35">
      <c r="A95" s="31"/>
      <c r="B95" s="32"/>
      <c r="C95" s="33" t="s">
        <v>102</v>
      </c>
      <c r="D95" s="42"/>
      <c r="E95" s="43" t="s">
        <v>228</v>
      </c>
      <c r="F95" s="44" t="s">
        <v>229</v>
      </c>
      <c r="G95" s="37">
        <f t="shared" ref="G95" si="36">0.02*-G94</f>
        <v>-800000</v>
      </c>
      <c r="I95" s="31">
        <v>3</v>
      </c>
      <c r="J95" s="32" t="s">
        <v>250</v>
      </c>
      <c r="K95" s="39" t="s">
        <v>247</v>
      </c>
      <c r="L95" s="42"/>
      <c r="M95" s="43"/>
      <c r="N95" s="44"/>
      <c r="O95" s="41">
        <v>12000000</v>
      </c>
      <c r="Q95" s="31"/>
      <c r="R95" s="32"/>
      <c r="S95" s="33"/>
      <c r="T95" s="42"/>
      <c r="U95" s="43"/>
      <c r="V95" s="60"/>
      <c r="W95" s="37"/>
      <c r="Y95" s="31"/>
      <c r="Z95" s="38"/>
      <c r="AA95" s="33" t="s">
        <v>102</v>
      </c>
      <c r="AB95" s="47"/>
      <c r="AC95" s="43" t="s">
        <v>278</v>
      </c>
      <c r="AD95" s="44" t="s">
        <v>279</v>
      </c>
      <c r="AE95" s="37">
        <f t="shared" si="34"/>
        <v>-1260000</v>
      </c>
    </row>
    <row r="96" spans="1:31" x14ac:dyDescent="0.35">
      <c r="A96" s="31"/>
      <c r="B96" s="32"/>
      <c r="C96" s="33" t="s">
        <v>230</v>
      </c>
      <c r="D96" s="42"/>
      <c r="E96" s="43"/>
      <c r="F96" s="44"/>
      <c r="G96" s="37">
        <f>30000*-205</f>
        <v>-6150000</v>
      </c>
      <c r="I96" s="31"/>
      <c r="J96" s="32"/>
      <c r="K96" s="33" t="s">
        <v>102</v>
      </c>
      <c r="L96" s="42"/>
      <c r="M96" s="43" t="s">
        <v>251</v>
      </c>
      <c r="N96" s="60" t="s">
        <v>252</v>
      </c>
      <c r="O96" s="37">
        <f t="shared" ref="O96:O103" si="37">0.02*-O95</f>
        <v>-240000</v>
      </c>
      <c r="Q96" s="31"/>
      <c r="R96" s="32"/>
      <c r="S96" s="61"/>
      <c r="T96" s="42"/>
      <c r="U96" s="43"/>
      <c r="V96" s="60"/>
      <c r="W96" s="37"/>
      <c r="Y96" s="31"/>
      <c r="Z96" s="38"/>
      <c r="AA96" s="33" t="s">
        <v>280</v>
      </c>
      <c r="AB96" s="47"/>
      <c r="AC96" s="43"/>
      <c r="AD96" s="44"/>
      <c r="AE96" s="37">
        <f>25100*-33</f>
        <v>-828300</v>
      </c>
    </row>
    <row r="97" spans="1:31" x14ac:dyDescent="0.35">
      <c r="A97" s="31">
        <v>3</v>
      </c>
      <c r="B97" s="32" t="s">
        <v>231</v>
      </c>
      <c r="C97" s="39" t="s">
        <v>223</v>
      </c>
      <c r="D97" s="42"/>
      <c r="E97" s="43"/>
      <c r="F97" s="44"/>
      <c r="G97" s="41">
        <v>10000000</v>
      </c>
      <c r="I97" s="31">
        <v>4</v>
      </c>
      <c r="J97" s="32" t="s">
        <v>253</v>
      </c>
      <c r="K97" s="33" t="s">
        <v>254</v>
      </c>
      <c r="L97" s="42"/>
      <c r="M97" s="43"/>
      <c r="N97" s="44"/>
      <c r="O97" s="37">
        <v>21000000</v>
      </c>
      <c r="Q97" s="31"/>
      <c r="R97" s="32"/>
      <c r="S97" s="46"/>
      <c r="T97" s="47"/>
      <c r="U97" s="47"/>
      <c r="V97" s="48"/>
      <c r="W97" s="49"/>
      <c r="Y97" s="31">
        <v>3</v>
      </c>
      <c r="Z97" s="32" t="s">
        <v>281</v>
      </c>
      <c r="AA97" s="33" t="s">
        <v>243</v>
      </c>
      <c r="AB97" s="47"/>
      <c r="AC97" s="43"/>
      <c r="AD97" s="44"/>
      <c r="AE97" s="37">
        <v>10000000</v>
      </c>
    </row>
    <row r="98" spans="1:31" ht="15" thickBot="1" x14ac:dyDescent="0.4">
      <c r="A98" s="31"/>
      <c r="B98" s="32"/>
      <c r="C98" s="33" t="s">
        <v>102</v>
      </c>
      <c r="D98" s="42"/>
      <c r="E98" s="43" t="s">
        <v>232</v>
      </c>
      <c r="F98" s="44" t="s">
        <v>214</v>
      </c>
      <c r="G98" s="37">
        <f t="shared" ref="G98:G104" si="38">0.02*-G97</f>
        <v>-200000</v>
      </c>
      <c r="I98" s="31"/>
      <c r="J98" s="32"/>
      <c r="K98" s="33" t="s">
        <v>102</v>
      </c>
      <c r="L98" s="42"/>
      <c r="M98" s="43" t="s">
        <v>255</v>
      </c>
      <c r="N98" s="60" t="s">
        <v>252</v>
      </c>
      <c r="O98" s="37">
        <f t="shared" si="37"/>
        <v>-420000</v>
      </c>
      <c r="Q98" s="50"/>
      <c r="R98" s="51"/>
      <c r="S98" s="52"/>
      <c r="T98" s="53"/>
      <c r="U98" s="53"/>
      <c r="V98" s="54" t="s">
        <v>129</v>
      </c>
      <c r="W98" s="55">
        <f>SUM(W91:W97)</f>
        <v>5880000</v>
      </c>
      <c r="Y98" s="31"/>
      <c r="Z98" s="38"/>
      <c r="AA98" s="33" t="s">
        <v>102</v>
      </c>
      <c r="AB98" s="47"/>
      <c r="AC98" s="43" t="s">
        <v>282</v>
      </c>
      <c r="AD98" s="44" t="s">
        <v>279</v>
      </c>
      <c r="AE98" s="37">
        <f t="shared" si="34"/>
        <v>-200000</v>
      </c>
    </row>
    <row r="99" spans="1:31" x14ac:dyDescent="0.35">
      <c r="A99" s="31">
        <v>4</v>
      </c>
      <c r="B99" s="32" t="s">
        <v>233</v>
      </c>
      <c r="C99" s="33" t="s">
        <v>234</v>
      </c>
      <c r="D99" s="42"/>
      <c r="E99" s="43"/>
      <c r="F99" s="44"/>
      <c r="G99" s="37">
        <v>10500000</v>
      </c>
      <c r="I99" s="31">
        <v>5</v>
      </c>
      <c r="J99" s="32" t="s">
        <v>256</v>
      </c>
      <c r="K99" s="33" t="s">
        <v>243</v>
      </c>
      <c r="L99" s="42"/>
      <c r="M99" s="43"/>
      <c r="N99" s="44"/>
      <c r="O99" s="37">
        <v>10000000</v>
      </c>
      <c r="Q99" s="24"/>
      <c r="R99" s="24"/>
      <c r="S99" s="24"/>
      <c r="T99" s="24"/>
      <c r="U99" s="24"/>
      <c r="Y99" s="31">
        <v>4</v>
      </c>
      <c r="Z99" s="32" t="s">
        <v>283</v>
      </c>
      <c r="AA99" s="33" t="s">
        <v>243</v>
      </c>
      <c r="AB99" s="47"/>
      <c r="AC99" s="43"/>
      <c r="AD99" s="44"/>
      <c r="AE99" s="37">
        <v>50000000</v>
      </c>
    </row>
    <row r="100" spans="1:31" x14ac:dyDescent="0.35">
      <c r="A100" s="31"/>
      <c r="B100" s="32"/>
      <c r="C100" s="33" t="s">
        <v>102</v>
      </c>
      <c r="D100" s="42"/>
      <c r="E100" s="43" t="s">
        <v>235</v>
      </c>
      <c r="F100" s="44" t="s">
        <v>214</v>
      </c>
      <c r="G100" s="37">
        <f t="shared" si="38"/>
        <v>-210000</v>
      </c>
      <c r="I100" s="31"/>
      <c r="J100" s="32"/>
      <c r="K100" s="33" t="s">
        <v>102</v>
      </c>
      <c r="L100" s="42"/>
      <c r="M100" s="43" t="s">
        <v>257</v>
      </c>
      <c r="N100" s="60" t="s">
        <v>252</v>
      </c>
      <c r="O100" s="37">
        <f t="shared" si="37"/>
        <v>-200000</v>
      </c>
      <c r="Q100" s="24" t="s">
        <v>130</v>
      </c>
      <c r="R100" s="24"/>
      <c r="S100" s="24"/>
      <c r="T100" s="24"/>
      <c r="U100" s="56"/>
      <c r="Y100" s="31"/>
      <c r="Z100" s="38"/>
      <c r="AA100" s="33" t="s">
        <v>102</v>
      </c>
      <c r="AB100" s="47"/>
      <c r="AC100" s="43" t="s">
        <v>284</v>
      </c>
      <c r="AD100" s="44" t="s">
        <v>285</v>
      </c>
      <c r="AE100" s="37">
        <f t="shared" si="34"/>
        <v>-1000000</v>
      </c>
    </row>
    <row r="101" spans="1:31" x14ac:dyDescent="0.35">
      <c r="A101" s="31">
        <v>5</v>
      </c>
      <c r="B101" s="32" t="s">
        <v>236</v>
      </c>
      <c r="C101" s="33" t="s">
        <v>223</v>
      </c>
      <c r="D101" s="42"/>
      <c r="E101" s="43"/>
      <c r="F101" s="44"/>
      <c r="G101" s="37">
        <v>50000000</v>
      </c>
      <c r="I101" s="31"/>
      <c r="J101" s="32"/>
      <c r="K101" s="33" t="s">
        <v>258</v>
      </c>
      <c r="L101" s="42"/>
      <c r="M101" s="43"/>
      <c r="N101" s="60"/>
      <c r="O101" s="37">
        <f>25000*-36</f>
        <v>-900000</v>
      </c>
      <c r="Q101" s="24" t="s">
        <v>131</v>
      </c>
      <c r="R101" s="24"/>
      <c r="S101" s="24"/>
      <c r="T101" s="24"/>
      <c r="U101" s="56"/>
      <c r="Y101" s="31"/>
      <c r="Z101" s="38"/>
      <c r="AA101" s="33" t="s">
        <v>286</v>
      </c>
      <c r="AB101" s="47"/>
      <c r="AC101" s="43"/>
      <c r="AD101" s="44"/>
      <c r="AE101" s="37">
        <f>25000*-35</f>
        <v>-875000</v>
      </c>
    </row>
    <row r="102" spans="1:31" x14ac:dyDescent="0.35">
      <c r="A102" s="31"/>
      <c r="B102" s="32"/>
      <c r="C102" s="33" t="s">
        <v>102</v>
      </c>
      <c r="D102" s="42"/>
      <c r="E102" s="43" t="s">
        <v>237</v>
      </c>
      <c r="F102" s="44" t="s">
        <v>238</v>
      </c>
      <c r="G102" s="37">
        <f t="shared" si="38"/>
        <v>-1000000</v>
      </c>
      <c r="I102" s="31">
        <v>6</v>
      </c>
      <c r="J102" s="32" t="s">
        <v>259</v>
      </c>
      <c r="K102" s="33" t="s">
        <v>243</v>
      </c>
      <c r="L102" s="42"/>
      <c r="M102" s="43"/>
      <c r="N102" s="44"/>
      <c r="O102" s="37">
        <v>30000000</v>
      </c>
      <c r="Q102" s="63" t="s">
        <v>265</v>
      </c>
      <c r="R102" s="24"/>
      <c r="S102" s="24"/>
      <c r="T102" s="24"/>
      <c r="U102" s="56"/>
      <c r="Y102" s="31">
        <v>5</v>
      </c>
      <c r="Z102" s="32" t="s">
        <v>287</v>
      </c>
      <c r="AA102" s="33" t="s">
        <v>254</v>
      </c>
      <c r="AB102" s="47"/>
      <c r="AC102" s="43"/>
      <c r="AD102" s="44"/>
      <c r="AE102" s="37">
        <v>21000000</v>
      </c>
    </row>
    <row r="103" spans="1:31" x14ac:dyDescent="0.35">
      <c r="A103" s="31">
        <v>6</v>
      </c>
      <c r="B103" s="32" t="s">
        <v>239</v>
      </c>
      <c r="C103" s="33" t="s">
        <v>234</v>
      </c>
      <c r="D103" s="42"/>
      <c r="E103" s="43"/>
      <c r="F103" s="44"/>
      <c r="G103" s="37">
        <v>21000000</v>
      </c>
      <c r="I103" s="31"/>
      <c r="J103" s="32"/>
      <c r="K103" s="33" t="s">
        <v>102</v>
      </c>
      <c r="L103" s="42"/>
      <c r="M103" s="43" t="s">
        <v>260</v>
      </c>
      <c r="N103" s="60" t="s">
        <v>261</v>
      </c>
      <c r="O103" s="37">
        <f t="shared" si="37"/>
        <v>-600000</v>
      </c>
      <c r="Q103" s="24" t="s">
        <v>266</v>
      </c>
      <c r="R103" s="62" t="s">
        <v>267</v>
      </c>
      <c r="S103" s="24"/>
      <c r="T103" s="24"/>
      <c r="U103" s="56"/>
      <c r="Y103" s="31"/>
      <c r="Z103" s="38"/>
      <c r="AA103" s="33" t="s">
        <v>102</v>
      </c>
      <c r="AB103" s="47"/>
      <c r="AC103" s="43" t="s">
        <v>288</v>
      </c>
      <c r="AD103" s="44" t="s">
        <v>285</v>
      </c>
      <c r="AE103" s="37">
        <f t="shared" si="34"/>
        <v>-420000</v>
      </c>
    </row>
    <row r="104" spans="1:31" x14ac:dyDescent="0.35">
      <c r="A104" s="31"/>
      <c r="B104" s="32"/>
      <c r="C104" s="33" t="s">
        <v>102</v>
      </c>
      <c r="D104" s="42"/>
      <c r="E104" s="43" t="s">
        <v>240</v>
      </c>
      <c r="F104" s="44" t="s">
        <v>214</v>
      </c>
      <c r="G104" s="37">
        <f t="shared" si="38"/>
        <v>-420000</v>
      </c>
      <c r="I104" s="31"/>
      <c r="J104" s="32"/>
      <c r="K104" s="61" t="s">
        <v>262</v>
      </c>
      <c r="L104" s="42"/>
      <c r="M104" s="43"/>
      <c r="N104" s="60"/>
      <c r="O104" s="37">
        <f>25000*-41</f>
        <v>-1025000</v>
      </c>
      <c r="Q104" s="24" t="s">
        <v>134</v>
      </c>
      <c r="R104" s="24" t="s">
        <v>135</v>
      </c>
      <c r="S104" s="24"/>
      <c r="T104" s="24"/>
      <c r="U104" s="56"/>
      <c r="Y104" s="31"/>
      <c r="Z104" s="32"/>
      <c r="AA104" s="61"/>
      <c r="AB104" s="42"/>
      <c r="AC104" s="43"/>
      <c r="AD104" s="60"/>
      <c r="AE104" s="37"/>
    </row>
    <row r="105" spans="1:31" x14ac:dyDescent="0.35">
      <c r="A105" s="31"/>
      <c r="B105" s="32"/>
      <c r="C105" s="46"/>
      <c r="D105" s="47"/>
      <c r="E105" s="47"/>
      <c r="F105" s="48"/>
      <c r="G105" s="49"/>
      <c r="I105" s="31">
        <v>7</v>
      </c>
      <c r="J105" s="32" t="s">
        <v>263</v>
      </c>
      <c r="K105" s="33" t="s">
        <v>254</v>
      </c>
      <c r="L105" s="42"/>
      <c r="M105" s="43"/>
      <c r="N105" s="60"/>
      <c r="O105" s="37">
        <v>31500000</v>
      </c>
      <c r="Q105" s="24" t="s">
        <v>272</v>
      </c>
      <c r="R105" s="24"/>
      <c r="S105" s="24"/>
      <c r="T105" s="24"/>
      <c r="U105" s="57"/>
      <c r="Y105" s="31"/>
      <c r="Z105" s="32"/>
      <c r="AA105" s="46"/>
      <c r="AB105" s="47"/>
      <c r="AC105" s="47"/>
      <c r="AD105" s="48"/>
      <c r="AE105" s="49"/>
    </row>
    <row r="106" spans="1:31" ht="15" thickBot="1" x14ac:dyDescent="0.4">
      <c r="A106" s="50"/>
      <c r="B106" s="51"/>
      <c r="C106" s="52"/>
      <c r="D106" s="53"/>
      <c r="E106" s="53"/>
      <c r="F106" s="54" t="s">
        <v>129</v>
      </c>
      <c r="G106" s="55">
        <f>SUM(G91:G105)</f>
        <v>176690000</v>
      </c>
      <c r="I106" s="31"/>
      <c r="J106" s="32"/>
      <c r="K106" s="61" t="s">
        <v>102</v>
      </c>
      <c r="L106" s="42"/>
      <c r="M106" s="43" t="s">
        <v>264</v>
      </c>
      <c r="N106" s="60" t="s">
        <v>261</v>
      </c>
      <c r="O106" s="37">
        <f t="shared" ref="O106" si="39">0.02*-O105</f>
        <v>-630000</v>
      </c>
      <c r="Q106" s="24"/>
      <c r="R106" s="24"/>
      <c r="S106" s="24"/>
      <c r="T106" s="24"/>
      <c r="U106" s="57"/>
      <c r="Y106" s="50"/>
      <c r="Z106" s="51"/>
      <c r="AA106" s="52"/>
      <c r="AB106" s="53"/>
      <c r="AC106" s="53"/>
      <c r="AD106" s="54" t="s">
        <v>129</v>
      </c>
      <c r="AE106" s="55">
        <f>SUM(AE91:AE105)</f>
        <v>206316700</v>
      </c>
    </row>
    <row r="107" spans="1:31" x14ac:dyDescent="0.35">
      <c r="A107" s="24"/>
      <c r="B107" s="24"/>
      <c r="C107" s="24"/>
      <c r="D107" s="24"/>
      <c r="I107" s="31"/>
      <c r="J107" s="32"/>
      <c r="K107" s="46"/>
      <c r="L107" s="47"/>
      <c r="M107" s="47"/>
      <c r="N107" s="48"/>
      <c r="O107" s="49"/>
      <c r="Y107" s="24"/>
      <c r="Z107" s="24"/>
      <c r="AA107" s="24"/>
      <c r="AB107" s="24"/>
      <c r="AC107" s="24"/>
    </row>
    <row r="108" spans="1:31" ht="15" thickBot="1" x14ac:dyDescent="0.4">
      <c r="A108" s="24" t="s">
        <v>130</v>
      </c>
      <c r="B108" s="24"/>
      <c r="C108" s="24"/>
      <c r="D108" s="24"/>
      <c r="I108" s="50"/>
      <c r="J108" s="51"/>
      <c r="K108" s="52"/>
      <c r="L108" s="53"/>
      <c r="M108" s="53"/>
      <c r="N108" s="54" t="s">
        <v>129</v>
      </c>
      <c r="O108" s="55">
        <f>SUM(O91:O107)</f>
        <v>145565000</v>
      </c>
      <c r="Y108" s="24" t="s">
        <v>130</v>
      </c>
      <c r="Z108" s="24"/>
      <c r="AA108" s="24"/>
      <c r="AB108" s="24"/>
      <c r="AC108" s="56"/>
    </row>
    <row r="109" spans="1:31" x14ac:dyDescent="0.35">
      <c r="A109" s="24" t="s">
        <v>131</v>
      </c>
      <c r="B109" s="24"/>
      <c r="C109" s="24"/>
      <c r="D109" s="24"/>
      <c r="I109" s="24"/>
      <c r="J109" s="24"/>
      <c r="K109" s="24"/>
      <c r="L109" s="24"/>
      <c r="M109" s="24"/>
      <c r="Y109" s="24" t="s">
        <v>131</v>
      </c>
      <c r="Z109" s="24"/>
      <c r="AA109" s="24"/>
      <c r="AB109" s="24"/>
      <c r="AC109" s="56"/>
    </row>
    <row r="110" spans="1:31" x14ac:dyDescent="0.35">
      <c r="A110" s="63" t="s">
        <v>265</v>
      </c>
      <c r="B110" s="24"/>
      <c r="C110" s="24"/>
      <c r="D110" s="24"/>
      <c r="I110" s="24" t="s">
        <v>130</v>
      </c>
      <c r="J110" s="24"/>
      <c r="K110" s="24"/>
      <c r="L110" s="24"/>
      <c r="M110" s="56"/>
      <c r="Y110" s="63" t="s">
        <v>265</v>
      </c>
      <c r="Z110" s="24"/>
      <c r="AA110" s="24"/>
      <c r="AB110" s="24"/>
      <c r="AC110" s="56"/>
    </row>
    <row r="111" spans="1:31" x14ac:dyDescent="0.35">
      <c r="A111" s="24" t="s">
        <v>266</v>
      </c>
      <c r="B111" s="62" t="s">
        <v>267</v>
      </c>
      <c r="C111" s="24"/>
      <c r="D111" s="24"/>
      <c r="I111" s="24" t="s">
        <v>131</v>
      </c>
      <c r="J111" s="24"/>
      <c r="K111" s="24"/>
      <c r="L111" s="24"/>
      <c r="M111" s="56"/>
      <c r="Y111" s="24" t="s">
        <v>266</v>
      </c>
      <c r="Z111" s="62" t="s">
        <v>267</v>
      </c>
      <c r="AA111" s="24"/>
      <c r="AB111" s="24"/>
      <c r="AC111" s="56"/>
    </row>
    <row r="112" spans="1:31" x14ac:dyDescent="0.35">
      <c r="A112" s="24" t="s">
        <v>134</v>
      </c>
      <c r="B112" s="24" t="s">
        <v>135</v>
      </c>
      <c r="C112" s="24"/>
      <c r="D112" s="24"/>
      <c r="I112" s="63" t="s">
        <v>265</v>
      </c>
      <c r="J112" s="24"/>
      <c r="K112" s="24"/>
      <c r="L112" s="24"/>
      <c r="M112" s="56"/>
      <c r="Y112" s="24" t="s">
        <v>134</v>
      </c>
      <c r="Z112" s="24" t="s">
        <v>135</v>
      </c>
      <c r="AA112" s="24"/>
      <c r="AB112" s="24"/>
      <c r="AC112" s="56"/>
    </row>
    <row r="113" spans="1:31" x14ac:dyDescent="0.35">
      <c r="A113" s="24" t="s">
        <v>241</v>
      </c>
      <c r="B113" s="24"/>
      <c r="C113" s="24"/>
      <c r="D113" s="24"/>
      <c r="I113" s="24" t="s">
        <v>266</v>
      </c>
      <c r="J113" s="62" t="s">
        <v>267</v>
      </c>
      <c r="K113" s="24"/>
      <c r="L113" s="24"/>
      <c r="M113" s="56"/>
      <c r="Y113" s="24" t="s">
        <v>272</v>
      </c>
      <c r="Z113" s="24"/>
      <c r="AA113" s="24"/>
      <c r="AB113" s="24"/>
      <c r="AC113" s="57"/>
    </row>
    <row r="114" spans="1:31" x14ac:dyDescent="0.35">
      <c r="A114" s="24"/>
      <c r="B114" s="24"/>
      <c r="C114" s="24"/>
      <c r="D114" s="24"/>
      <c r="I114" s="24" t="s">
        <v>134</v>
      </c>
      <c r="J114" s="24" t="s">
        <v>135</v>
      </c>
      <c r="K114" s="24"/>
      <c r="L114" s="24"/>
      <c r="M114" s="56"/>
      <c r="Y114" s="24"/>
      <c r="Z114" s="24"/>
      <c r="AA114" s="24"/>
      <c r="AB114" s="24"/>
      <c r="AC114" s="57"/>
    </row>
    <row r="115" spans="1:31" x14ac:dyDescent="0.35">
      <c r="I115" s="24" t="s">
        <v>268</v>
      </c>
      <c r="J115" s="24"/>
      <c r="K115" s="24"/>
      <c r="L115" s="24"/>
      <c r="M115" s="57"/>
    </row>
    <row r="116" spans="1:31" s="59" customFormat="1" x14ac:dyDescent="0.35"/>
    <row r="117" spans="1:31" s="59" customFormat="1" ht="15" thickBot="1" x14ac:dyDescent="0.4"/>
    <row r="118" spans="1:31" ht="15" thickBot="1" x14ac:dyDescent="0.4">
      <c r="A118" s="25" t="s">
        <v>0</v>
      </c>
      <c r="B118" s="26" t="s">
        <v>97</v>
      </c>
      <c r="C118" s="27"/>
      <c r="D118" s="28" t="s">
        <v>98</v>
      </c>
      <c r="E118" s="28"/>
      <c r="F118" s="29"/>
      <c r="G118" s="30" t="s">
        <v>99</v>
      </c>
      <c r="I118" s="25" t="s">
        <v>0</v>
      </c>
      <c r="J118" s="26" t="s">
        <v>97</v>
      </c>
      <c r="K118" s="27"/>
      <c r="L118" s="28" t="s">
        <v>98</v>
      </c>
      <c r="M118" s="28"/>
      <c r="N118" s="29"/>
      <c r="O118" s="30" t="s">
        <v>99</v>
      </c>
      <c r="Q118" s="25" t="s">
        <v>0</v>
      </c>
      <c r="R118" s="26" t="s">
        <v>97</v>
      </c>
      <c r="S118" s="27"/>
      <c r="T118" s="28" t="s">
        <v>98</v>
      </c>
      <c r="U118" s="28"/>
      <c r="V118" s="29"/>
      <c r="W118" s="30" t="s">
        <v>99</v>
      </c>
      <c r="Y118" s="25" t="s">
        <v>0</v>
      </c>
      <c r="Z118" s="26" t="s">
        <v>97</v>
      </c>
      <c r="AA118" s="27"/>
      <c r="AB118" s="28" t="s">
        <v>98</v>
      </c>
      <c r="AC118" s="28"/>
      <c r="AD118" s="29"/>
      <c r="AE118" s="30" t="s">
        <v>99</v>
      </c>
    </row>
    <row r="119" spans="1:31" x14ac:dyDescent="0.35">
      <c r="A119" s="31">
        <v>1</v>
      </c>
      <c r="B119" s="32" t="s">
        <v>289</v>
      </c>
      <c r="C119" s="33" t="s">
        <v>290</v>
      </c>
      <c r="D119" s="34"/>
      <c r="E119" s="35"/>
      <c r="F119" s="36"/>
      <c r="G119" s="37">
        <v>10000000</v>
      </c>
      <c r="I119" s="31">
        <v>1</v>
      </c>
      <c r="J119" s="32" t="s">
        <v>294</v>
      </c>
      <c r="K119" s="33" t="s">
        <v>290</v>
      </c>
      <c r="L119" s="34"/>
      <c r="M119" s="35"/>
      <c r="N119" s="36"/>
      <c r="O119" s="37">
        <v>40000000</v>
      </c>
      <c r="Q119" s="31">
        <v>1</v>
      </c>
      <c r="R119" s="32" t="s">
        <v>308</v>
      </c>
      <c r="S119" s="33" t="s">
        <v>299</v>
      </c>
      <c r="T119" s="34"/>
      <c r="U119" s="35"/>
      <c r="V119" s="36"/>
      <c r="W119" s="37">
        <v>21000000</v>
      </c>
      <c r="Y119" s="31">
        <v>1</v>
      </c>
      <c r="Z119" s="32" t="s">
        <v>315</v>
      </c>
      <c r="AA119" s="33" t="s">
        <v>290</v>
      </c>
      <c r="AB119" s="34"/>
      <c r="AC119" s="35"/>
      <c r="AD119" s="36"/>
      <c r="AE119" s="37">
        <v>20000000</v>
      </c>
    </row>
    <row r="120" spans="1:31" x14ac:dyDescent="0.35">
      <c r="A120" s="31"/>
      <c r="B120" s="38"/>
      <c r="C120" s="33" t="s">
        <v>102</v>
      </c>
      <c r="D120" s="34"/>
      <c r="E120" s="35" t="s">
        <v>291</v>
      </c>
      <c r="F120" s="36" t="s">
        <v>292</v>
      </c>
      <c r="G120" s="37">
        <f t="shared" ref="G120" si="40">0.02*-G119</f>
        <v>-200000</v>
      </c>
      <c r="I120" s="31"/>
      <c r="J120" s="38"/>
      <c r="K120" s="33" t="s">
        <v>102</v>
      </c>
      <c r="L120" s="34"/>
      <c r="M120" s="35" t="s">
        <v>295</v>
      </c>
      <c r="N120" s="36" t="s">
        <v>296</v>
      </c>
      <c r="O120" s="37">
        <f t="shared" ref="O120:O128" si="41">0.02*-O119</f>
        <v>-800000</v>
      </c>
      <c r="Q120" s="31"/>
      <c r="R120" s="38"/>
      <c r="S120" s="33" t="s">
        <v>102</v>
      </c>
      <c r="T120" s="34"/>
      <c r="U120" s="35" t="s">
        <v>309</v>
      </c>
      <c r="V120" s="36" t="s">
        <v>310</v>
      </c>
      <c r="W120" s="37">
        <f t="shared" ref="W120:W122" si="42">0.02*-W119</f>
        <v>-420000</v>
      </c>
      <c r="Y120" s="31"/>
      <c r="Z120" s="38"/>
      <c r="AA120" s="33" t="s">
        <v>102</v>
      </c>
      <c r="AB120" s="34"/>
      <c r="AC120" s="35" t="s">
        <v>316</v>
      </c>
      <c r="AD120" s="36" t="s">
        <v>317</v>
      </c>
      <c r="AE120" s="37">
        <f t="shared" ref="AE120" si="43">0.02*-AE119</f>
        <v>-400000</v>
      </c>
    </row>
    <row r="121" spans="1:31" x14ac:dyDescent="0.35">
      <c r="A121" s="31"/>
      <c r="B121" s="38"/>
      <c r="C121" s="33"/>
      <c r="D121" s="47"/>
      <c r="E121" s="43"/>
      <c r="F121" s="44"/>
      <c r="G121" s="37"/>
      <c r="I121" s="31"/>
      <c r="J121" s="38"/>
      <c r="K121" s="33" t="s">
        <v>297</v>
      </c>
      <c r="L121" s="47"/>
      <c r="M121" s="43"/>
      <c r="N121" s="44"/>
      <c r="O121" s="37">
        <f>20000*-62</f>
        <v>-1240000</v>
      </c>
      <c r="Q121" s="31">
        <v>2</v>
      </c>
      <c r="R121" s="32" t="s">
        <v>311</v>
      </c>
      <c r="S121" s="33" t="s">
        <v>299</v>
      </c>
      <c r="T121" s="47"/>
      <c r="U121" s="43"/>
      <c r="V121" s="44"/>
      <c r="W121" s="37">
        <v>21000000</v>
      </c>
      <c r="Y121" s="31"/>
      <c r="Z121" s="32"/>
      <c r="AA121" s="33"/>
      <c r="AB121" s="47"/>
      <c r="AC121" s="43"/>
      <c r="AD121" s="44"/>
      <c r="AE121" s="37"/>
    </row>
    <row r="122" spans="1:31" x14ac:dyDescent="0.35">
      <c r="A122" s="31"/>
      <c r="B122" s="38"/>
      <c r="C122" s="33"/>
      <c r="D122" s="47"/>
      <c r="E122" s="43"/>
      <c r="F122" s="44"/>
      <c r="G122" s="37"/>
      <c r="I122" s="31">
        <v>2</v>
      </c>
      <c r="J122" s="32" t="s">
        <v>298</v>
      </c>
      <c r="K122" s="33" t="s">
        <v>299</v>
      </c>
      <c r="L122" s="47"/>
      <c r="M122" s="43"/>
      <c r="N122" s="44"/>
      <c r="O122" s="37">
        <v>10500000</v>
      </c>
      <c r="Q122" s="31"/>
      <c r="R122" s="38"/>
      <c r="S122" s="33" t="s">
        <v>102</v>
      </c>
      <c r="T122" s="47"/>
      <c r="U122" s="43" t="s">
        <v>312</v>
      </c>
      <c r="V122" s="36" t="s">
        <v>313</v>
      </c>
      <c r="W122" s="37">
        <f t="shared" si="42"/>
        <v>-420000</v>
      </c>
      <c r="Y122" s="31"/>
      <c r="Z122" s="38"/>
      <c r="AA122" s="33"/>
      <c r="AB122" s="47"/>
      <c r="AC122" s="43"/>
      <c r="AD122" s="44"/>
      <c r="AE122" s="37"/>
    </row>
    <row r="123" spans="1:31" x14ac:dyDescent="0.35">
      <c r="A123" s="31"/>
      <c r="B123" s="32"/>
      <c r="C123" s="33"/>
      <c r="D123" s="47"/>
      <c r="E123" s="43"/>
      <c r="F123" s="44"/>
      <c r="G123" s="37"/>
      <c r="I123" s="31"/>
      <c r="J123" s="38"/>
      <c r="K123" s="33" t="s">
        <v>102</v>
      </c>
      <c r="L123" s="47"/>
      <c r="M123" s="43" t="s">
        <v>300</v>
      </c>
      <c r="N123" s="36" t="s">
        <v>296</v>
      </c>
      <c r="O123" s="37">
        <f t="shared" si="41"/>
        <v>-210000</v>
      </c>
      <c r="Q123" s="31"/>
      <c r="R123" s="38"/>
      <c r="S123" s="33"/>
      <c r="T123" s="47"/>
      <c r="U123" s="43"/>
      <c r="V123" s="44"/>
      <c r="W123" s="37"/>
      <c r="Y123" s="31"/>
      <c r="Z123" s="32"/>
      <c r="AA123" s="61"/>
      <c r="AB123" s="42"/>
      <c r="AC123" s="43"/>
      <c r="AD123" s="60"/>
      <c r="AE123" s="37"/>
    </row>
    <row r="124" spans="1:31" x14ac:dyDescent="0.35">
      <c r="A124" s="31"/>
      <c r="B124" s="38"/>
      <c r="C124" s="33"/>
      <c r="D124" s="47"/>
      <c r="E124" s="43"/>
      <c r="F124" s="44"/>
      <c r="G124" s="37"/>
      <c r="I124" s="31">
        <v>3</v>
      </c>
      <c r="J124" s="32" t="s">
        <v>301</v>
      </c>
      <c r="K124" s="33" t="s">
        <v>290</v>
      </c>
      <c r="L124" s="47"/>
      <c r="M124" s="43"/>
      <c r="N124" s="44"/>
      <c r="O124" s="37">
        <v>20000000</v>
      </c>
      <c r="Q124" s="31"/>
      <c r="R124" s="32"/>
      <c r="S124" s="61"/>
      <c r="T124" s="42"/>
      <c r="U124" s="43"/>
      <c r="V124" s="60"/>
      <c r="W124" s="37"/>
      <c r="Y124" s="31"/>
      <c r="Z124" s="32"/>
      <c r="AA124" s="46"/>
      <c r="AB124" s="47"/>
      <c r="AC124" s="47"/>
      <c r="AD124" s="48"/>
      <c r="AE124" s="49"/>
    </row>
    <row r="125" spans="1:31" ht="15" thickBot="1" x14ac:dyDescent="0.4">
      <c r="A125" s="31"/>
      <c r="B125" s="32"/>
      <c r="C125" s="61"/>
      <c r="D125" s="42"/>
      <c r="E125" s="43"/>
      <c r="F125" s="60"/>
      <c r="G125" s="37"/>
      <c r="I125" s="31"/>
      <c r="J125" s="38"/>
      <c r="K125" s="33" t="s">
        <v>102</v>
      </c>
      <c r="L125" s="47"/>
      <c r="M125" s="43" t="s">
        <v>302</v>
      </c>
      <c r="N125" s="36" t="s">
        <v>303</v>
      </c>
      <c r="O125" s="37">
        <f t="shared" si="41"/>
        <v>-400000</v>
      </c>
      <c r="Q125" s="31"/>
      <c r="R125" s="32"/>
      <c r="S125" s="46"/>
      <c r="T125" s="47"/>
      <c r="U125" s="47"/>
      <c r="V125" s="48"/>
      <c r="W125" s="49"/>
      <c r="Y125" s="50"/>
      <c r="Z125" s="51"/>
      <c r="AA125" s="52"/>
      <c r="AB125" s="53"/>
      <c r="AC125" s="53"/>
      <c r="AD125" s="54" t="s">
        <v>129</v>
      </c>
      <c r="AE125" s="55">
        <f>SUM(AE119:AE124)</f>
        <v>19600000</v>
      </c>
    </row>
    <row r="126" spans="1:31" ht="15" thickBot="1" x14ac:dyDescent="0.4">
      <c r="A126" s="31"/>
      <c r="B126" s="32"/>
      <c r="C126" s="46"/>
      <c r="D126" s="47"/>
      <c r="E126" s="47"/>
      <c r="F126" s="48"/>
      <c r="G126" s="49"/>
      <c r="I126" s="31"/>
      <c r="J126" s="38"/>
      <c r="K126" s="33" t="s">
        <v>304</v>
      </c>
      <c r="L126" s="47"/>
      <c r="M126" s="43"/>
      <c r="N126" s="44"/>
      <c r="O126" s="37">
        <f>20000*-41</f>
        <v>-820000</v>
      </c>
      <c r="Q126" s="50"/>
      <c r="R126" s="51"/>
      <c r="S126" s="52"/>
      <c r="T126" s="53"/>
      <c r="U126" s="53"/>
      <c r="V126" s="54" t="s">
        <v>129</v>
      </c>
      <c r="W126" s="55">
        <f>SUM(W119:W125)</f>
        <v>41160000</v>
      </c>
      <c r="Y126" s="24"/>
      <c r="Z126" s="24"/>
      <c r="AA126" s="24"/>
      <c r="AB126" s="24"/>
      <c r="AC126" s="24"/>
    </row>
    <row r="127" spans="1:31" ht="15" thickBot="1" x14ac:dyDescent="0.4">
      <c r="A127" s="50"/>
      <c r="B127" s="51"/>
      <c r="C127" s="52"/>
      <c r="D127" s="53"/>
      <c r="E127" s="53"/>
      <c r="F127" s="54" t="s">
        <v>129</v>
      </c>
      <c r="G127" s="55">
        <f>SUM(G119:G126)</f>
        <v>9800000</v>
      </c>
      <c r="I127" s="31">
        <v>4</v>
      </c>
      <c r="J127" s="32" t="s">
        <v>305</v>
      </c>
      <c r="K127" s="33" t="s">
        <v>299</v>
      </c>
      <c r="L127" s="47"/>
      <c r="M127" s="43"/>
      <c r="N127" s="44"/>
      <c r="O127" s="37">
        <v>21000000</v>
      </c>
      <c r="Q127" s="24"/>
      <c r="R127" s="24"/>
      <c r="S127" s="24"/>
      <c r="T127" s="24"/>
      <c r="U127" s="24"/>
      <c r="Y127" s="24" t="s">
        <v>130</v>
      </c>
      <c r="Z127" s="24"/>
      <c r="AA127" s="24"/>
      <c r="AB127" s="24"/>
      <c r="AC127" s="56"/>
    </row>
    <row r="128" spans="1:31" x14ac:dyDescent="0.35">
      <c r="A128" s="24"/>
      <c r="B128" s="24"/>
      <c r="C128" s="24"/>
      <c r="D128" s="24"/>
      <c r="E128" s="24"/>
      <c r="I128" s="31"/>
      <c r="J128" s="38"/>
      <c r="K128" s="33" t="s">
        <v>102</v>
      </c>
      <c r="L128" s="47"/>
      <c r="M128" s="43" t="s">
        <v>306</v>
      </c>
      <c r="N128" s="36" t="s">
        <v>303</v>
      </c>
      <c r="O128" s="37">
        <f t="shared" si="41"/>
        <v>-420000</v>
      </c>
      <c r="Q128" s="24" t="s">
        <v>130</v>
      </c>
      <c r="R128" s="24"/>
      <c r="S128" s="24"/>
      <c r="T128" s="24"/>
      <c r="U128" s="56"/>
      <c r="Y128" s="24" t="s">
        <v>131</v>
      </c>
      <c r="Z128" s="24"/>
      <c r="AA128" s="24"/>
      <c r="AB128" s="24"/>
      <c r="AC128" s="56"/>
    </row>
    <row r="129" spans="1:29" x14ac:dyDescent="0.35">
      <c r="A129" s="24" t="s">
        <v>130</v>
      </c>
      <c r="B129" s="24"/>
      <c r="C129" s="24"/>
      <c r="D129" s="24"/>
      <c r="E129" s="56"/>
      <c r="I129" s="31"/>
      <c r="J129" s="32"/>
      <c r="K129" s="33"/>
      <c r="L129" s="47"/>
      <c r="M129" s="43"/>
      <c r="N129" s="44"/>
      <c r="O129" s="37"/>
      <c r="Q129" s="24" t="s">
        <v>131</v>
      </c>
      <c r="R129" s="24"/>
      <c r="S129" s="24"/>
      <c r="T129" s="24"/>
      <c r="U129" s="56"/>
      <c r="Y129" s="24" t="s">
        <v>265</v>
      </c>
      <c r="Z129" s="24"/>
      <c r="AA129" s="24"/>
      <c r="AB129" s="24"/>
      <c r="AC129" s="56"/>
    </row>
    <row r="130" spans="1:29" x14ac:dyDescent="0.35">
      <c r="A130" s="24" t="s">
        <v>131</v>
      </c>
      <c r="B130" s="24"/>
      <c r="C130" s="24"/>
      <c r="D130" s="24"/>
      <c r="E130" s="56"/>
      <c r="I130" s="31"/>
      <c r="J130" s="38"/>
      <c r="K130" s="33"/>
      <c r="L130" s="47"/>
      <c r="M130" s="43"/>
      <c r="N130" s="44"/>
      <c r="O130" s="37"/>
      <c r="Q130" s="24" t="s">
        <v>265</v>
      </c>
      <c r="R130" s="24"/>
      <c r="S130" s="24"/>
      <c r="T130" s="24"/>
      <c r="U130" s="56"/>
      <c r="Y130" s="24" t="s">
        <v>266</v>
      </c>
      <c r="Z130" s="62" t="s">
        <v>267</v>
      </c>
      <c r="AA130" s="24"/>
      <c r="AB130" s="24"/>
      <c r="AC130" s="56"/>
    </row>
    <row r="131" spans="1:29" x14ac:dyDescent="0.35">
      <c r="A131" s="63" t="s">
        <v>265</v>
      </c>
      <c r="B131" s="24"/>
      <c r="C131" s="24"/>
      <c r="D131" s="24"/>
      <c r="E131" s="56"/>
      <c r="I131" s="31"/>
      <c r="J131" s="32"/>
      <c r="K131" s="61"/>
      <c r="L131" s="42"/>
      <c r="M131" s="43"/>
      <c r="N131" s="60"/>
      <c r="O131" s="37"/>
      <c r="Q131" s="24" t="s">
        <v>266</v>
      </c>
      <c r="R131" s="62" t="s">
        <v>267</v>
      </c>
      <c r="S131" s="24"/>
      <c r="T131" s="24"/>
      <c r="U131" s="56"/>
      <c r="Y131" s="24" t="s">
        <v>134</v>
      </c>
      <c r="Z131" s="24" t="s">
        <v>135</v>
      </c>
      <c r="AA131" s="24"/>
      <c r="AB131" s="24"/>
      <c r="AC131" s="56"/>
    </row>
    <row r="132" spans="1:29" x14ac:dyDescent="0.35">
      <c r="A132" s="24" t="s">
        <v>266</v>
      </c>
      <c r="B132" s="62" t="s">
        <v>267</v>
      </c>
      <c r="C132" s="24"/>
      <c r="D132" s="24"/>
      <c r="E132" s="56"/>
      <c r="I132" s="31"/>
      <c r="J132" s="32"/>
      <c r="K132" s="46"/>
      <c r="L132" s="47"/>
      <c r="M132" s="47"/>
      <c r="N132" s="48"/>
      <c r="O132" s="49"/>
      <c r="Q132" s="24" t="s">
        <v>134</v>
      </c>
      <c r="R132" s="24" t="s">
        <v>135</v>
      </c>
      <c r="S132" s="24"/>
      <c r="T132" s="24"/>
      <c r="U132" s="56"/>
      <c r="Y132" s="24" t="s">
        <v>318</v>
      </c>
      <c r="Z132" s="24"/>
      <c r="AA132" s="24"/>
      <c r="AB132" s="24"/>
      <c r="AC132" s="57"/>
    </row>
    <row r="133" spans="1:29" ht="15" thickBot="1" x14ac:dyDescent="0.4">
      <c r="A133" s="24" t="s">
        <v>134</v>
      </c>
      <c r="B133" s="24" t="s">
        <v>135</v>
      </c>
      <c r="C133" s="24"/>
      <c r="D133" s="24"/>
      <c r="E133" s="56"/>
      <c r="I133" s="50"/>
      <c r="J133" s="51"/>
      <c r="K133" s="52"/>
      <c r="L133" s="53"/>
      <c r="M133" s="53"/>
      <c r="N133" s="54" t="s">
        <v>129</v>
      </c>
      <c r="O133" s="55">
        <f>SUM(O119:O132)</f>
        <v>87610000</v>
      </c>
      <c r="Q133" s="24" t="s">
        <v>314</v>
      </c>
      <c r="R133" s="24"/>
      <c r="S133" s="24"/>
      <c r="T133" s="24"/>
      <c r="U133" s="57"/>
      <c r="Y133" s="24"/>
      <c r="Z133" s="24"/>
      <c r="AA133" s="24"/>
      <c r="AB133" s="24"/>
      <c r="AC133" s="57"/>
    </row>
    <row r="134" spans="1:29" x14ac:dyDescent="0.35">
      <c r="A134" s="24" t="s">
        <v>293</v>
      </c>
      <c r="B134" s="24"/>
      <c r="C134" s="24"/>
      <c r="D134" s="24"/>
      <c r="E134" s="57"/>
      <c r="I134" s="24"/>
      <c r="J134" s="24"/>
      <c r="K134" s="24"/>
      <c r="L134" s="24"/>
      <c r="M134" s="24"/>
      <c r="Q134" s="24"/>
      <c r="R134" s="24"/>
      <c r="S134" s="24"/>
      <c r="T134" s="24"/>
      <c r="U134" s="57"/>
    </row>
    <row r="135" spans="1:29" x14ac:dyDescent="0.35">
      <c r="A135" s="24"/>
      <c r="B135" s="24"/>
      <c r="C135" s="24"/>
      <c r="D135" s="24"/>
      <c r="E135" s="57"/>
      <c r="I135" s="24" t="s">
        <v>130</v>
      </c>
      <c r="J135" s="24"/>
      <c r="K135" s="24"/>
      <c r="L135" s="24"/>
      <c r="M135" s="56"/>
    </row>
    <row r="136" spans="1:29" x14ac:dyDescent="0.35">
      <c r="I136" s="24" t="s">
        <v>131</v>
      </c>
      <c r="J136" s="24"/>
      <c r="K136" s="24"/>
      <c r="L136" s="24"/>
      <c r="M136" s="56"/>
    </row>
    <row r="137" spans="1:29" x14ac:dyDescent="0.35">
      <c r="I137" s="24" t="s">
        <v>265</v>
      </c>
      <c r="J137" s="24"/>
      <c r="K137" s="24"/>
      <c r="L137" s="24"/>
      <c r="M137" s="56"/>
    </row>
    <row r="138" spans="1:29" x14ac:dyDescent="0.35">
      <c r="I138" s="24" t="s">
        <v>266</v>
      </c>
      <c r="J138" s="62" t="s">
        <v>267</v>
      </c>
      <c r="K138" s="24"/>
      <c r="L138" s="24"/>
      <c r="M138" s="56"/>
    </row>
    <row r="139" spans="1:29" x14ac:dyDescent="0.35">
      <c r="I139" s="24" t="s">
        <v>134</v>
      </c>
      <c r="J139" s="24" t="s">
        <v>135</v>
      </c>
      <c r="K139" s="24"/>
      <c r="L139" s="24"/>
      <c r="M139" s="56"/>
    </row>
    <row r="140" spans="1:29" x14ac:dyDescent="0.35">
      <c r="I140" s="24" t="s">
        <v>307</v>
      </c>
      <c r="J140" s="24"/>
      <c r="K140" s="24"/>
      <c r="L140" s="24"/>
      <c r="M140" s="57"/>
    </row>
    <row r="141" spans="1:29" x14ac:dyDescent="0.35">
      <c r="I141" s="24"/>
      <c r="J141" s="24"/>
      <c r="K141" s="24"/>
      <c r="L141" s="24"/>
      <c r="M141" s="57"/>
    </row>
  </sheetData>
  <mergeCells count="4">
    <mergeCell ref="A59:XFD60"/>
    <mergeCell ref="A88:XFD89"/>
    <mergeCell ref="A116:XFD117"/>
    <mergeCell ref="A28:XF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Akr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Dela Natalia</cp:lastModifiedBy>
  <dcterms:created xsi:type="dcterms:W3CDTF">2026-08-05T03:20:21Z</dcterms:created>
  <dcterms:modified xsi:type="dcterms:W3CDTF">2026-08-06T04:54:10Z</dcterms:modified>
</cp:coreProperties>
</file>